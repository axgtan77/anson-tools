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 Charging" sheetId="1" r:id="rId5"/>
    <sheet state="visible" name="EV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tc={a64efc30-082f-4813-8195-adf42717ad84}</author>
  </authors>
  <commentList>
    <comment authorId="0" xr:uid="{a64efc30-082f-4813-8195-adf42717ad84}" ref="T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Efficiency is about 5.2 -5.5 km / kwh.
So if battery is at 100% and you can consume only about 80%, then it could just travel around 250 - 265 km before needing to charge.
At 80%, it can travel to around 185 - 198km before needing to charge.
From column U, we can see average kms driven before recharge is 206km; which is near our estimates since we charge to 80% most of the time; and charge to 100% maybe twice a month.
</t>
      </text>
    </comment>
  </commentList>
</comments>
</file>

<file path=xl/sharedStrings.xml><?xml version="1.0" encoding="utf-8"?>
<sst xmlns="http://schemas.openxmlformats.org/spreadsheetml/2006/main" count="163" uniqueCount="48">
  <si>
    <t>Date</t>
  </si>
  <si>
    <t>Vehicle</t>
  </si>
  <si>
    <t>ODO</t>
  </si>
  <si>
    <t>Current Charge
Remaining</t>
  </si>
  <si>
    <t>Target Charge</t>
  </si>
  <si>
    <t>Charge Needed
to Target</t>
  </si>
  <si>
    <t>in KwH</t>
  </si>
  <si>
    <t>Charger used</t>
  </si>
  <si>
    <t>Time needed
(E / F)</t>
  </si>
  <si>
    <t>Time start</t>
  </si>
  <si>
    <t>Est time end</t>
  </si>
  <si>
    <t>Actual time end</t>
  </si>
  <si>
    <t>Actual Charge</t>
  </si>
  <si>
    <t>Actual Charged</t>
  </si>
  <si>
    <t>in KwH 2</t>
  </si>
  <si>
    <t>Actual Charging Time</t>
  </si>
  <si>
    <t>Actual Charge Rate</t>
  </si>
  <si>
    <t>Location</t>
  </si>
  <si>
    <t>Cost of Charging</t>
  </si>
  <si>
    <t>Km / KwH</t>
  </si>
  <si>
    <t>Kms driven from
last recharge</t>
  </si>
  <si>
    <t># of days from
last recharge</t>
  </si>
  <si>
    <t>BYD Atto3</t>
  </si>
  <si>
    <t>1.9 Kw</t>
  </si>
  <si>
    <t>Garage</t>
  </si>
  <si>
    <t>7 Kw</t>
  </si>
  <si>
    <t>Dela Rosa Car Park</t>
  </si>
  <si>
    <t>7.0 Kw</t>
  </si>
  <si>
    <t>6.4 Kw</t>
  </si>
  <si>
    <t>6.1 Kw</t>
  </si>
  <si>
    <t>24 Kw</t>
  </si>
  <si>
    <t>UP Town</t>
  </si>
  <si>
    <t>PMS</t>
  </si>
  <si>
    <t>Hexagon</t>
  </si>
  <si>
    <t>*eff went down probably bec i left the car running n the mall for 30-40mins.</t>
  </si>
  <si>
    <t>trip to</t>
  </si>
  <si>
    <t>Paniqui, Tarlac</t>
  </si>
  <si>
    <t>lots of days of no driving</t>
  </si>
  <si>
    <t>Car Model</t>
  </si>
  <si>
    <t>Capacity</t>
  </si>
  <si>
    <t>Units</t>
  </si>
  <si>
    <t>Range</t>
  </si>
  <si>
    <t>Km</t>
  </si>
  <si>
    <t>KwH</t>
  </si>
  <si>
    <t>km</t>
  </si>
  <si>
    <t>BYD Seal Advance</t>
  </si>
  <si>
    <t>Tesla Model Y</t>
  </si>
  <si>
    <t>Tesla Model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</si>
</sst>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m/dd/yyyy h:mm:ss am/pm"/>
    <numFmt numFmtId="166" formatCode="M/d/yyyy H:mm:ss"/>
    <numFmt numFmtId="167" formatCode="#,##0.000"/>
  </numFmts>
  <fonts count="5">
    <font>
      <sz val="10.0"/>
      <color rgb="FF000000"/>
      <name val="Arial"/>
      <scheme val="minor"/>
    </font>
    <font>
      <sz val="8.0"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9" xfId="0" applyAlignment="1" applyFont="1" applyNumberFormat="1">
      <alignment readingOrder="0" shrinkToFit="0" vertical="center" wrapText="0"/>
    </xf>
    <xf borderId="0" fillId="0" fontId="2" numFmtId="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2" numFmtId="2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4" xfId="0" applyAlignment="1" applyFont="1" applyNumberFormat="1">
      <alignment shrinkToFit="0" vertical="center" wrapText="0"/>
    </xf>
    <xf borderId="0" fillId="0" fontId="2" numFmtId="167" xfId="0" applyAlignment="1" applyFont="1" applyNumberFormat="1">
      <alignment shrinkToFit="0" vertical="center" wrapText="0"/>
    </xf>
    <xf borderId="0" fillId="3" fontId="2" numFmtId="0" xfId="0" applyAlignment="1" applyFill="1" applyFont="1">
      <alignment readingOrder="0" shrinkToFit="0" vertical="center" wrapText="0"/>
    </xf>
    <xf borderId="0" fillId="4" fontId="2" numFmtId="0" xfId="0" applyAlignment="1" applyFill="1" applyFont="1">
      <alignment readingOrder="0" shrinkToFit="0" vertical="center" wrapText="0"/>
    </xf>
    <xf borderId="0" fillId="4" fontId="3" numFmtId="4" xfId="0" applyAlignment="1" applyFont="1" applyNumberFormat="1">
      <alignment shrinkToFit="0" vertical="center" wrapText="0"/>
    </xf>
    <xf borderId="0" fillId="3" fontId="2" numFmtId="9" xfId="0" applyAlignment="1" applyFont="1" applyNumberFormat="1">
      <alignment readingOrder="0" shrinkToFit="0" vertical="center" wrapText="0"/>
    </xf>
    <xf borderId="0" fillId="5" fontId="2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9" xfId="0" applyAlignment="1" applyFont="1" applyNumberFormat="1">
      <alignment readingOrder="0" shrinkToFit="0" vertical="bottom" wrapText="0"/>
    </xf>
    <xf borderId="0" fillId="0" fontId="4" numFmtId="9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0" fillId="0" fontId="4" numFmtId="2" xfId="0" applyAlignment="1" applyFont="1" applyNumberFormat="1">
      <alignment shrinkToFit="0" vertical="bottom" wrapText="0"/>
    </xf>
    <xf borderId="0" fillId="0" fontId="4" numFmtId="165" xfId="0" applyAlignment="1" applyFont="1" applyNumberFormat="1">
      <alignment readingOrder="0" shrinkToFit="0" vertical="bottom" wrapText="0"/>
    </xf>
    <xf borderId="0" fillId="0" fontId="4" numFmtId="166" xfId="0" applyAlignment="1" applyFont="1" applyNumberFormat="1">
      <alignment shrinkToFit="0" vertical="bottom" wrapText="0"/>
    </xf>
    <xf borderId="0" fillId="0" fontId="4" numFmtId="166" xfId="0" applyAlignment="1" applyFont="1" applyNumberFormat="1">
      <alignment readingOrder="0" shrinkToFit="0" vertical="bottom" wrapText="0"/>
    </xf>
    <xf borderId="0" fillId="0" fontId="4" numFmtId="4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7" xfId="0" applyAlignment="1" applyFont="1" applyNumberFormat="1">
      <alignment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9" xfId="0" applyAlignment="1" applyFont="1" applyNumberFormat="1">
      <alignment readingOrder="0" shrinkToFit="0" vertical="bottom" wrapText="0"/>
    </xf>
    <xf borderId="0" fillId="0" fontId="2" numFmtId="9" xfId="0" applyAlignment="1" applyFont="1" applyNumberFormat="1">
      <alignment readingOrder="0" shrinkToFit="0" vertical="center" wrapText="0"/>
    </xf>
    <xf borderId="0" fillId="0" fontId="4" numFmtId="9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2" xfId="0" applyAlignment="1" applyFont="1" applyNumberFormat="1">
      <alignment shrinkToFit="0" vertical="bottom" wrapText="0"/>
    </xf>
    <xf borderId="0" fillId="0" fontId="4" numFmtId="166" xfId="0" applyAlignment="1" applyFont="1" applyNumberFormat="1">
      <alignment shrinkToFit="0" vertical="bottom" wrapText="0"/>
    </xf>
    <xf borderId="0" fillId="0" fontId="4" numFmtId="166" xfId="0" applyAlignment="1" applyFont="1" applyNumberFormat="1">
      <alignment readingOrder="0" shrinkToFit="0" vertical="bottom" wrapText="0"/>
    </xf>
    <xf borderId="0" fillId="0" fontId="4" numFmtId="4" xfId="0" applyAlignment="1" applyFont="1" applyNumberFormat="1">
      <alignment shrinkToFit="0" vertical="bottom" wrapText="0"/>
    </xf>
    <xf borderId="0" fillId="0" fontId="4" numFmtId="167" xfId="0" applyAlignment="1" applyFont="1" applyNumberFormat="1">
      <alignment shrinkToFit="0" vertical="bottom" wrapText="0"/>
    </xf>
    <xf borderId="0" fillId="6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0" fillId="0" fontId="4" numFmtId="165" xfId="0" applyAlignment="1" applyFont="1" applyNumberForma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V Charg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exander Tan" id="{092d9453-c191-4ddc-b9fb-7598b1f3de09}" providerId="google-sheets"/>
</x18tc:personList>
</file>

<file path=xl/tables/table1.xml><?xml version="1.0" encoding="utf-8"?>
<table xmlns="http://schemas.openxmlformats.org/spreadsheetml/2006/main" ref="A1:V57" displayName="Table1" name="Table1" id="1">
  <tableColumns count="22">
    <tableColumn name="Date" id="1"/>
    <tableColumn name="Vehicle" id="2"/>
    <tableColumn name="ODO" id="3"/>
    <tableColumn name="Current Charge_x000a_Remaining" id="4"/>
    <tableColumn name="Target Charge" id="5"/>
    <tableColumn name="Charge Needed_x000a_to Target" id="6"/>
    <tableColumn name="in KwH" id="7"/>
    <tableColumn name="Charger used" id="8"/>
    <tableColumn name="Time needed_x000a_(E / F)" id="9"/>
    <tableColumn name="Time start" id="10"/>
    <tableColumn name="Est time end" id="11"/>
    <tableColumn name="Actual time end" id="12"/>
    <tableColumn name="Actual Charge" id="13"/>
    <tableColumn name="Actual Charged" id="14"/>
    <tableColumn name="in KwH 2" id="15"/>
    <tableColumn name="Actual Charging Time" id="16"/>
    <tableColumn name="Actual Charge Rate" id="17"/>
    <tableColumn name="Location" id="18"/>
    <tableColumn name="Cost of Charging" id="19"/>
    <tableColumn name="Km / KwH" id="20"/>
    <tableColumn name="Kms driven from_x000a_last recharge" id="21"/>
    <tableColumn name="# of days from_x000a_last recharge" id="22"/>
  </tableColumns>
  <tableStyleInfo name="EV Charg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T33" dT="2026-02-16T09:21:29.00" personId="{092d9453-c191-4ddc-b9fb-7598b1f3de09}" id="{a64efc30-082f-4813-8195-adf42717ad84}" done="0">
    <x18tc:text xml:space="preserve">Efficiency is about 5.2 -5.5 km / kwh.
So if battery is at 100% and you can consume only about 80%, then it could just travel around 250 - 265 km before needing to charge.
At 80%, it can travel to around 185 - 198km before needing to charge.
From column U, we can see average kms driven before recharge is 206km; which is near our estimates since we charge to 80% most of the time; and charge to 100% maybe twice a month.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2" max="2" width="17.88"/>
    <col customWidth="1" min="3" max="3" width="8.38"/>
    <col customWidth="1" min="4" max="4" width="12.75"/>
    <col customWidth="1" min="5" max="5" width="14.0"/>
    <col customWidth="1" min="6" max="6" width="15.38"/>
    <col customWidth="1" min="7" max="7" width="13.88"/>
    <col customWidth="1" min="8" max="9" width="13.25"/>
    <col customWidth="1" min="10" max="10" width="22.38"/>
    <col customWidth="1" min="11" max="11" width="20.13"/>
    <col customWidth="1" min="12" max="12" width="21.0"/>
    <col customWidth="1" min="13" max="13" width="14.0"/>
    <col customWidth="1" min="14" max="14" width="15.0"/>
    <col customWidth="1" min="15" max="15" width="13.88"/>
    <col customWidth="1" min="16" max="16" width="15.38"/>
    <col customWidth="1" min="17" max="17" width="10.63"/>
    <col customWidth="1" min="18" max="18" width="12.75"/>
    <col customWidth="1" min="19" max="19" width="17.38"/>
    <col customWidth="1" min="20" max="20" width="17.5"/>
    <col customWidth="1" min="21" max="21" width="21.0"/>
    <col customWidth="1" min="22" max="22" width="19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/>
      <c r="X1" s="3"/>
      <c r="Y1" s="3"/>
      <c r="Z1" s="3"/>
      <c r="AA1" s="3"/>
      <c r="AB1" s="3"/>
      <c r="AC1" s="3"/>
      <c r="AD1" s="3"/>
      <c r="AE1" s="3"/>
    </row>
    <row r="2" ht="22.5" customHeight="1">
      <c r="A2" s="4">
        <v>45861.0</v>
      </c>
      <c r="B2" s="5" t="s">
        <v>22</v>
      </c>
      <c r="C2" s="6"/>
      <c r="D2" s="7">
        <v>0.35</v>
      </c>
      <c r="E2" s="7">
        <v>0.8</v>
      </c>
      <c r="F2" s="8">
        <f>E2-D2</f>
        <v>0.45</v>
      </c>
      <c r="G2" s="9">
        <f>F2*VLOOKUP(B2,EVs!$A$2:$E$5,2,false)</f>
        <v>27.225</v>
      </c>
      <c r="H2" s="10" t="s">
        <v>23</v>
      </c>
      <c r="I2" s="11">
        <f>G2/left(H2,3)</f>
        <v>14.32894737</v>
      </c>
      <c r="J2" s="12">
        <v>45861.78125</v>
      </c>
      <c r="K2" s="13">
        <f>J2+I2/24</f>
        <v>45862.37829</v>
      </c>
      <c r="L2" s="14">
        <v>45862.393055555556</v>
      </c>
      <c r="M2" s="7">
        <v>0.81</v>
      </c>
      <c r="N2" s="8">
        <f t="shared" ref="N2:N15" si="1">M2-D2</f>
        <v>0.46</v>
      </c>
      <c r="O2" s="15">
        <f>N2*VLOOKUP(B2,EVs!$A$2:$E$5,2,false)</f>
        <v>27.83</v>
      </c>
      <c r="P2" s="15">
        <f t="shared" ref="P2:P15" si="2">(L2-J2)*24</f>
        <v>14.68333333</v>
      </c>
      <c r="Q2" s="15">
        <f>N2*VLOOKUP(B2,EVs!$A$2:$E$5,2,false)/P2</f>
        <v>1.895346198</v>
      </c>
      <c r="R2" s="5" t="s">
        <v>24</v>
      </c>
      <c r="S2" s="15">
        <f>O2*15</f>
        <v>417.45</v>
      </c>
      <c r="T2" s="16"/>
      <c r="U2" s="9"/>
      <c r="V2" s="9"/>
    </row>
    <row r="3" ht="22.5" customHeight="1">
      <c r="A3" s="4">
        <v>45866.0</v>
      </c>
      <c r="B3" s="5" t="s">
        <v>22</v>
      </c>
      <c r="C3" s="6"/>
      <c r="D3" s="7">
        <v>0.49</v>
      </c>
      <c r="E3" s="7"/>
      <c r="F3" s="8"/>
      <c r="G3" s="9"/>
      <c r="H3" s="17" t="s">
        <v>25</v>
      </c>
      <c r="I3" s="11"/>
      <c r="J3" s="12">
        <v>45866.424305555556</v>
      </c>
      <c r="K3" s="14"/>
      <c r="L3" s="14">
        <v>45866.458333333336</v>
      </c>
      <c r="M3" s="7">
        <v>0.54</v>
      </c>
      <c r="N3" s="8">
        <f t="shared" si="1"/>
        <v>0.05</v>
      </c>
      <c r="O3" s="15">
        <f>N3*VLOOKUP(B3,EVs!$A$2:$E$5,2,false)</f>
        <v>3.025</v>
      </c>
      <c r="P3" s="15">
        <f t="shared" si="2"/>
        <v>0.8166666667</v>
      </c>
      <c r="Q3" s="15">
        <f>N3*VLOOKUP(B3,EVs!$A$2:$E$5,2,false)/P3</f>
        <v>3.704081632</v>
      </c>
      <c r="R3" s="18" t="s">
        <v>26</v>
      </c>
      <c r="S3" s="19">
        <f>O3*28</f>
        <v>84.7</v>
      </c>
      <c r="T3" s="16"/>
      <c r="U3" s="9"/>
      <c r="V3" s="9"/>
    </row>
    <row r="4" ht="22.5" customHeight="1">
      <c r="A4" s="4">
        <v>45871.0</v>
      </c>
      <c r="B4" s="5" t="s">
        <v>22</v>
      </c>
      <c r="C4" s="6"/>
      <c r="D4" s="7">
        <v>0.21</v>
      </c>
      <c r="E4" s="7">
        <v>0.8</v>
      </c>
      <c r="F4" s="8">
        <f t="shared" ref="F4:F15" si="3">E4-D4</f>
        <v>0.59</v>
      </c>
      <c r="G4" s="9">
        <f>F4*VLOOKUP(B4,EVs!$A$2:$E$5,2,false)</f>
        <v>35.695</v>
      </c>
      <c r="H4" s="10" t="s">
        <v>23</v>
      </c>
      <c r="I4" s="11">
        <f t="shared" ref="I4:I15" si="4">G4/left(H4,3)</f>
        <v>18.78684211</v>
      </c>
      <c r="J4" s="12">
        <v>45871.81319444445</v>
      </c>
      <c r="K4" s="13">
        <f t="shared" ref="K4:K15" si="5">J4+I4/24</f>
        <v>45872.59598</v>
      </c>
      <c r="L4" s="14">
        <v>45872.618055555555</v>
      </c>
      <c r="M4" s="7">
        <v>0.8</v>
      </c>
      <c r="N4" s="8">
        <f t="shared" si="1"/>
        <v>0.59</v>
      </c>
      <c r="O4" s="15">
        <f>N4*VLOOKUP(B4,EVs!$A$2:$E$5,2,false)</f>
        <v>35.695</v>
      </c>
      <c r="P4" s="15">
        <f t="shared" si="2"/>
        <v>19.31666667</v>
      </c>
      <c r="Q4" s="15">
        <f>N4*VLOOKUP(B4,EVs!$A$2:$E$5,2,false)/P4</f>
        <v>1.847886109</v>
      </c>
      <c r="R4" s="5" t="s">
        <v>24</v>
      </c>
      <c r="S4" s="15">
        <f t="shared" ref="S4:S8" si="6">O4*15</f>
        <v>535.425</v>
      </c>
      <c r="T4" s="16"/>
      <c r="U4" s="9"/>
      <c r="V4" s="9"/>
    </row>
    <row r="5" ht="22.5" customHeight="1">
      <c r="A5" s="4">
        <v>45878.0</v>
      </c>
      <c r="B5" s="5" t="s">
        <v>22</v>
      </c>
      <c r="C5" s="6"/>
      <c r="D5" s="7">
        <v>0.49</v>
      </c>
      <c r="E5" s="7">
        <v>0.8</v>
      </c>
      <c r="F5" s="8">
        <f t="shared" si="3"/>
        <v>0.31</v>
      </c>
      <c r="G5" s="9">
        <f>F5*VLOOKUP(B5,EVs!$A$2:$E$5,2,false)</f>
        <v>18.755</v>
      </c>
      <c r="H5" s="17" t="s">
        <v>27</v>
      </c>
      <c r="I5" s="11">
        <f t="shared" si="4"/>
        <v>2.679285714</v>
      </c>
      <c r="J5" s="12">
        <v>45878.46111111111</v>
      </c>
      <c r="K5" s="13">
        <f t="shared" si="5"/>
        <v>45878.57275</v>
      </c>
      <c r="L5" s="14">
        <v>45878.58888888889</v>
      </c>
      <c r="M5" s="7">
        <v>0.8</v>
      </c>
      <c r="N5" s="8">
        <f t="shared" si="1"/>
        <v>0.31</v>
      </c>
      <c r="O5" s="15">
        <f>N5*VLOOKUP(B5,EVs!$A$2:$E$5,2,false)</f>
        <v>18.755</v>
      </c>
      <c r="P5" s="15">
        <f t="shared" si="2"/>
        <v>3.066666667</v>
      </c>
      <c r="Q5" s="15">
        <f>N5*VLOOKUP(B5,EVs!$A$2:$E$5,2,false)/P5</f>
        <v>6.115760869</v>
      </c>
      <c r="R5" s="5" t="s">
        <v>24</v>
      </c>
      <c r="S5" s="15">
        <f t="shared" si="6"/>
        <v>281.325</v>
      </c>
      <c r="T5" s="16"/>
      <c r="U5" s="9"/>
      <c r="V5" s="9"/>
    </row>
    <row r="6" ht="22.5" customHeight="1">
      <c r="A6" s="4">
        <v>45885.0</v>
      </c>
      <c r="B6" s="5" t="s">
        <v>22</v>
      </c>
      <c r="C6" s="6"/>
      <c r="D6" s="7">
        <v>0.32</v>
      </c>
      <c r="E6" s="7">
        <v>0.8</v>
      </c>
      <c r="F6" s="8">
        <f t="shared" si="3"/>
        <v>0.48</v>
      </c>
      <c r="G6" s="9">
        <f>F6*VLOOKUP(B6,EVs!$A$2:$E$5,2,false)</f>
        <v>29.04</v>
      </c>
      <c r="H6" s="17" t="s">
        <v>28</v>
      </c>
      <c r="I6" s="11">
        <f t="shared" si="4"/>
        <v>4.5375</v>
      </c>
      <c r="J6" s="12">
        <v>45885.81180555555</v>
      </c>
      <c r="K6" s="13">
        <f t="shared" si="5"/>
        <v>45886.00087</v>
      </c>
      <c r="L6" s="14">
        <v>45886.00989583333</v>
      </c>
      <c r="M6" s="7">
        <v>0.8</v>
      </c>
      <c r="N6" s="8">
        <f t="shared" si="1"/>
        <v>0.48</v>
      </c>
      <c r="O6" s="15">
        <f>N6*VLOOKUP(B6,EVs!$A$2:$E$5,2,false)</f>
        <v>29.04</v>
      </c>
      <c r="P6" s="15">
        <f t="shared" si="2"/>
        <v>4.754166667</v>
      </c>
      <c r="Q6" s="15">
        <f>N6*VLOOKUP(B6,EVs!$A$2:$E$5,2,false)/P6</f>
        <v>6.10832603</v>
      </c>
      <c r="R6" s="5" t="s">
        <v>24</v>
      </c>
      <c r="S6" s="15">
        <f t="shared" si="6"/>
        <v>435.6</v>
      </c>
      <c r="T6" s="16"/>
      <c r="U6" s="9"/>
      <c r="V6" s="9"/>
    </row>
    <row r="7" ht="22.5" customHeight="1">
      <c r="A7" s="4">
        <v>45896.0</v>
      </c>
      <c r="B7" s="5" t="s">
        <v>22</v>
      </c>
      <c r="C7" s="6"/>
      <c r="D7" s="7">
        <v>0.23</v>
      </c>
      <c r="E7" s="7">
        <v>0.5</v>
      </c>
      <c r="F7" s="8">
        <f t="shared" si="3"/>
        <v>0.27</v>
      </c>
      <c r="G7" s="9">
        <f>F7*VLOOKUP(B7,EVs!$A$2:$E$5,2,false)</f>
        <v>16.335</v>
      </c>
      <c r="H7" s="17" t="s">
        <v>29</v>
      </c>
      <c r="I7" s="11">
        <f t="shared" si="4"/>
        <v>2.677868852</v>
      </c>
      <c r="J7" s="12">
        <v>45896.680555555555</v>
      </c>
      <c r="K7" s="13">
        <f t="shared" si="5"/>
        <v>45896.79213</v>
      </c>
      <c r="L7" s="14">
        <v>45896.74513888889</v>
      </c>
      <c r="M7" s="7">
        <v>0.39</v>
      </c>
      <c r="N7" s="8">
        <f t="shared" si="1"/>
        <v>0.16</v>
      </c>
      <c r="O7" s="15">
        <f>N7*VLOOKUP(B7,EVs!$A$2:$E$5,2,false)</f>
        <v>9.68</v>
      </c>
      <c r="P7" s="15">
        <f t="shared" si="2"/>
        <v>1.55</v>
      </c>
      <c r="Q7" s="15">
        <f>N7*VLOOKUP(B7,EVs!$A$2:$E$5,2,false)/P7</f>
        <v>6.24516129</v>
      </c>
      <c r="R7" s="5" t="s">
        <v>24</v>
      </c>
      <c r="S7" s="15">
        <f t="shared" si="6"/>
        <v>145.2</v>
      </c>
      <c r="T7" s="16"/>
      <c r="U7" s="9"/>
      <c r="V7" s="9"/>
    </row>
    <row r="8" ht="22.5" customHeight="1">
      <c r="A8" s="4">
        <v>45897.0</v>
      </c>
      <c r="B8" s="5" t="s">
        <v>22</v>
      </c>
      <c r="C8" s="6"/>
      <c r="D8" s="7">
        <v>0.38</v>
      </c>
      <c r="E8" s="20">
        <v>1.0</v>
      </c>
      <c r="F8" s="8">
        <f t="shared" si="3"/>
        <v>0.62</v>
      </c>
      <c r="G8" s="9">
        <f>F8*VLOOKUP(B8,EVs!$A$2:$E$5,2,false)</f>
        <v>37.51</v>
      </c>
      <c r="H8" s="17" t="s">
        <v>29</v>
      </c>
      <c r="I8" s="11">
        <f t="shared" si="4"/>
        <v>6.149180328</v>
      </c>
      <c r="J8" s="12">
        <v>45897.26388888889</v>
      </c>
      <c r="K8" s="14">
        <f t="shared" si="5"/>
        <v>45897.5201</v>
      </c>
      <c r="L8" s="14">
        <v>45897.529861111114</v>
      </c>
      <c r="M8" s="7">
        <v>0.99</v>
      </c>
      <c r="N8" s="8">
        <f t="shared" si="1"/>
        <v>0.61</v>
      </c>
      <c r="O8" s="15">
        <f>N8*VLOOKUP(B8,EVs!$A$2:$E$5,2,false)</f>
        <v>36.905</v>
      </c>
      <c r="P8" s="15">
        <f t="shared" si="2"/>
        <v>6.383333333</v>
      </c>
      <c r="Q8" s="15">
        <f>N8*VLOOKUP(B8,EVs!$A$2:$E$5,2,false)/P8</f>
        <v>5.781462141</v>
      </c>
      <c r="R8" s="5" t="s">
        <v>24</v>
      </c>
      <c r="S8" s="15">
        <f t="shared" si="6"/>
        <v>553.575</v>
      </c>
      <c r="T8" s="16"/>
      <c r="U8" s="9"/>
      <c r="V8" s="9"/>
    </row>
    <row r="9" ht="22.5" customHeight="1">
      <c r="A9" s="4">
        <v>45904.0</v>
      </c>
      <c r="B9" s="5" t="s">
        <v>22</v>
      </c>
      <c r="C9" s="6"/>
      <c r="D9" s="7">
        <v>0.48</v>
      </c>
      <c r="E9" s="7">
        <v>0.8</v>
      </c>
      <c r="F9" s="8">
        <f t="shared" si="3"/>
        <v>0.32</v>
      </c>
      <c r="G9" s="9">
        <f>F9*VLOOKUP(B9,EVs!$A$2:$E$5,2,false)</f>
        <v>19.36</v>
      </c>
      <c r="H9" s="21" t="s">
        <v>30</v>
      </c>
      <c r="I9" s="11">
        <f t="shared" si="4"/>
        <v>0.8066666667</v>
      </c>
      <c r="J9" s="12">
        <v>45904.486805555556</v>
      </c>
      <c r="K9" s="14">
        <f t="shared" si="5"/>
        <v>45904.52042</v>
      </c>
      <c r="L9" s="14">
        <v>45904.51944444444</v>
      </c>
      <c r="M9" s="7">
        <v>0.79</v>
      </c>
      <c r="N9" s="8">
        <f t="shared" si="1"/>
        <v>0.31</v>
      </c>
      <c r="O9" s="15">
        <f>N9*VLOOKUP(B9,EVs!$A$2:$E$5,2,false)</f>
        <v>18.755</v>
      </c>
      <c r="P9" s="15">
        <f t="shared" si="2"/>
        <v>0.7833333333</v>
      </c>
      <c r="Q9" s="15">
        <f>N9*VLOOKUP(B9,EVs!$A$2:$E$5,2,false)/P9</f>
        <v>23.94255319</v>
      </c>
      <c r="R9" s="18" t="s">
        <v>31</v>
      </c>
      <c r="S9" s="19">
        <f>O9*32</f>
        <v>600.16</v>
      </c>
      <c r="T9" s="16"/>
      <c r="U9" s="9"/>
      <c r="V9" s="9"/>
    </row>
    <row r="10" ht="22.5" customHeight="1">
      <c r="A10" s="4">
        <v>45909.0</v>
      </c>
      <c r="B10" s="5" t="s">
        <v>22</v>
      </c>
      <c r="C10" s="6"/>
      <c r="D10" s="7">
        <v>0.25</v>
      </c>
      <c r="E10" s="7">
        <v>0.8</v>
      </c>
      <c r="F10" s="8">
        <f t="shared" si="3"/>
        <v>0.55</v>
      </c>
      <c r="G10" s="9">
        <f>F10*VLOOKUP(B10,EVs!$A$2:$E$5,2,false)</f>
        <v>33.275</v>
      </c>
      <c r="H10" s="17" t="s">
        <v>29</v>
      </c>
      <c r="I10" s="11">
        <f t="shared" si="4"/>
        <v>5.454918033</v>
      </c>
      <c r="J10" s="12">
        <v>45909.004166666666</v>
      </c>
      <c r="K10" s="14">
        <f t="shared" si="5"/>
        <v>45909.23145</v>
      </c>
      <c r="L10" s="14">
        <v>45909.25902777778</v>
      </c>
      <c r="M10" s="7">
        <v>0.87</v>
      </c>
      <c r="N10" s="8">
        <f t="shared" si="1"/>
        <v>0.62</v>
      </c>
      <c r="O10" s="15">
        <f>N10*VLOOKUP(B10,EVs!$A$2:$E$5,2,false)</f>
        <v>37.51</v>
      </c>
      <c r="P10" s="15">
        <f t="shared" si="2"/>
        <v>6.116666667</v>
      </c>
      <c r="Q10" s="15">
        <f>N10*VLOOKUP(B10,EVs!$A$2:$E$5,2,false)/P10</f>
        <v>6.132425068</v>
      </c>
      <c r="R10" s="5" t="s">
        <v>24</v>
      </c>
      <c r="S10" s="15">
        <f t="shared" ref="S10:S15" si="7">O10*15</f>
        <v>562.65</v>
      </c>
      <c r="T10" s="16"/>
      <c r="U10" s="9"/>
      <c r="V10" s="9"/>
    </row>
    <row r="11" ht="22.5" customHeight="1">
      <c r="A11" s="4">
        <v>45920.0</v>
      </c>
      <c r="B11" s="5" t="s">
        <v>22</v>
      </c>
      <c r="C11" s="6"/>
      <c r="D11" s="7">
        <v>0.27</v>
      </c>
      <c r="E11" s="7">
        <v>0.8</v>
      </c>
      <c r="F11" s="8">
        <f t="shared" si="3"/>
        <v>0.53</v>
      </c>
      <c r="G11" s="9">
        <f>F11*VLOOKUP(B11,EVs!$A$2:$E$5,2,false)</f>
        <v>32.065</v>
      </c>
      <c r="H11" s="17" t="s">
        <v>29</v>
      </c>
      <c r="I11" s="11">
        <f t="shared" si="4"/>
        <v>5.256557377</v>
      </c>
      <c r="J11" s="12">
        <v>45920.34166666667</v>
      </c>
      <c r="K11" s="14">
        <f t="shared" si="5"/>
        <v>45920.56069</v>
      </c>
      <c r="L11" s="14">
        <v>45920.57361111111</v>
      </c>
      <c r="M11" s="7">
        <v>0.82</v>
      </c>
      <c r="N11" s="8">
        <f t="shared" si="1"/>
        <v>0.55</v>
      </c>
      <c r="O11" s="15">
        <f>N11*VLOOKUP(B11,EVs!$A$2:$E$5,2,false)</f>
        <v>33.275</v>
      </c>
      <c r="P11" s="15">
        <f t="shared" si="2"/>
        <v>5.566666667</v>
      </c>
      <c r="Q11" s="15">
        <f>N11*VLOOKUP(B11,EVs!$A$2:$E$5,2,false)/P11</f>
        <v>5.97754491</v>
      </c>
      <c r="R11" s="5" t="s">
        <v>24</v>
      </c>
      <c r="S11" s="15">
        <f t="shared" si="7"/>
        <v>499.125</v>
      </c>
      <c r="T11" s="16"/>
      <c r="U11" s="9"/>
      <c r="V11" s="9"/>
    </row>
    <row r="12" ht="22.5" customHeight="1">
      <c r="A12" s="4">
        <v>45926.0</v>
      </c>
      <c r="B12" s="5" t="s">
        <v>22</v>
      </c>
      <c r="C12" s="6"/>
      <c r="D12" s="7">
        <v>0.27</v>
      </c>
      <c r="E12" s="7">
        <v>0.8</v>
      </c>
      <c r="F12" s="8">
        <f t="shared" si="3"/>
        <v>0.53</v>
      </c>
      <c r="G12" s="9">
        <f>F12*VLOOKUP(B12,EVs!$A$2:$E$5,2,false)</f>
        <v>32.065</v>
      </c>
      <c r="H12" s="17" t="s">
        <v>29</v>
      </c>
      <c r="I12" s="11">
        <f t="shared" si="4"/>
        <v>5.256557377</v>
      </c>
      <c r="J12" s="12">
        <v>45926.56875</v>
      </c>
      <c r="K12" s="14">
        <f t="shared" si="5"/>
        <v>45926.78777</v>
      </c>
      <c r="L12" s="14">
        <v>45926.82777777778</v>
      </c>
      <c r="M12" s="7">
        <v>0.89</v>
      </c>
      <c r="N12" s="8">
        <f t="shared" si="1"/>
        <v>0.62</v>
      </c>
      <c r="O12" s="15">
        <f>N12*VLOOKUP(B12,EVs!$A$2:$E$5,2,false)</f>
        <v>37.51</v>
      </c>
      <c r="P12" s="15">
        <f t="shared" si="2"/>
        <v>6.216666667</v>
      </c>
      <c r="Q12" s="15">
        <f>N12*VLOOKUP(B12,EVs!$A$2:$E$5,2,false)/P12</f>
        <v>6.033780161</v>
      </c>
      <c r="R12" s="5" t="s">
        <v>24</v>
      </c>
      <c r="S12" s="15">
        <f t="shared" si="7"/>
        <v>562.65</v>
      </c>
      <c r="T12" s="16"/>
      <c r="U12" s="9"/>
      <c r="V12" s="9"/>
    </row>
    <row r="13" ht="22.5" customHeight="1">
      <c r="A13" s="4">
        <v>45934.0</v>
      </c>
      <c r="B13" s="5" t="s">
        <v>22</v>
      </c>
      <c r="C13" s="6"/>
      <c r="D13" s="7">
        <v>0.18</v>
      </c>
      <c r="E13" s="20">
        <v>1.0</v>
      </c>
      <c r="F13" s="8">
        <f t="shared" si="3"/>
        <v>0.82</v>
      </c>
      <c r="G13" s="9">
        <f>F13*VLOOKUP(B13,EVs!$A$2:$E$5,2,false)</f>
        <v>49.61</v>
      </c>
      <c r="H13" s="17" t="s">
        <v>29</v>
      </c>
      <c r="I13" s="11">
        <f t="shared" si="4"/>
        <v>8.132786885</v>
      </c>
      <c r="J13" s="12">
        <v>45934.82083333333</v>
      </c>
      <c r="K13" s="14">
        <f t="shared" si="5"/>
        <v>45935.1597</v>
      </c>
      <c r="L13" s="14">
        <v>45935.14861111111</v>
      </c>
      <c r="M13" s="7">
        <v>1.0</v>
      </c>
      <c r="N13" s="8">
        <f t="shared" si="1"/>
        <v>0.82</v>
      </c>
      <c r="O13" s="15">
        <f>N13*VLOOKUP(B13,EVs!$A$2:$E$5,2,false)</f>
        <v>49.61</v>
      </c>
      <c r="P13" s="15">
        <f t="shared" si="2"/>
        <v>7.866666667</v>
      </c>
      <c r="Q13" s="15">
        <f>N13*VLOOKUP(B13,EVs!$A$2:$E$5,2,false)/P13</f>
        <v>6.306355932</v>
      </c>
      <c r="R13" s="5" t="s">
        <v>24</v>
      </c>
      <c r="S13" s="15">
        <f t="shared" si="7"/>
        <v>744.15</v>
      </c>
      <c r="T13" s="16"/>
      <c r="U13" s="9"/>
      <c r="V13" s="9"/>
    </row>
    <row r="14" ht="22.5" customHeight="1">
      <c r="A14" s="4">
        <v>45945.0</v>
      </c>
      <c r="B14" s="5" t="s">
        <v>22</v>
      </c>
      <c r="C14" s="6"/>
      <c r="D14" s="7">
        <v>0.35</v>
      </c>
      <c r="E14" s="7">
        <v>0.8</v>
      </c>
      <c r="F14" s="8">
        <f t="shared" si="3"/>
        <v>0.45</v>
      </c>
      <c r="G14" s="9">
        <f>F14*VLOOKUP(B14,EVs!$A$2:$E$5,2,false)</f>
        <v>27.225</v>
      </c>
      <c r="H14" s="17" t="s">
        <v>29</v>
      </c>
      <c r="I14" s="11">
        <f t="shared" si="4"/>
        <v>4.463114754</v>
      </c>
      <c r="J14" s="12">
        <v>45945.45</v>
      </c>
      <c r="K14" s="14">
        <f t="shared" si="5"/>
        <v>45945.63596</v>
      </c>
      <c r="L14" s="14">
        <v>45945.65017361111</v>
      </c>
      <c r="M14" s="7">
        <v>0.82</v>
      </c>
      <c r="N14" s="8">
        <f t="shared" si="1"/>
        <v>0.47</v>
      </c>
      <c r="O14" s="15">
        <f>N14*VLOOKUP(B14,EVs!$A$2:$E$5,2,false)</f>
        <v>28.435</v>
      </c>
      <c r="P14" s="15">
        <f t="shared" si="2"/>
        <v>4.804166667</v>
      </c>
      <c r="Q14" s="15">
        <f>N14*VLOOKUP(B14,EVs!$A$2:$E$5,2,false)/P14</f>
        <v>5.918820468</v>
      </c>
      <c r="R14" s="5" t="s">
        <v>24</v>
      </c>
      <c r="S14" s="15">
        <f t="shared" si="7"/>
        <v>426.525</v>
      </c>
      <c r="T14" s="16"/>
      <c r="U14" s="9"/>
      <c r="V14" s="9"/>
    </row>
    <row r="15" ht="22.5" customHeight="1">
      <c r="A15" s="4">
        <v>45950.0</v>
      </c>
      <c r="B15" s="5" t="s">
        <v>22</v>
      </c>
      <c r="C15" s="6"/>
      <c r="D15" s="7">
        <v>0.15</v>
      </c>
      <c r="E15" s="20">
        <v>1.0</v>
      </c>
      <c r="F15" s="8">
        <f t="shared" si="3"/>
        <v>0.85</v>
      </c>
      <c r="G15" s="9">
        <f>F15*VLOOKUP(B15,EVs!$A$2:$E$5,2,false)</f>
        <v>51.425</v>
      </c>
      <c r="H15" s="17" t="s">
        <v>29</v>
      </c>
      <c r="I15" s="11">
        <f t="shared" si="4"/>
        <v>8.430327869</v>
      </c>
      <c r="J15" s="12">
        <v>45950.82152777778</v>
      </c>
      <c r="K15" s="14">
        <f t="shared" si="5"/>
        <v>45951.17279</v>
      </c>
      <c r="L15" s="14">
        <v>45951.15833333333</v>
      </c>
      <c r="M15" s="7">
        <v>1.0</v>
      </c>
      <c r="N15" s="8">
        <f t="shared" si="1"/>
        <v>0.85</v>
      </c>
      <c r="O15" s="15">
        <f>N15*VLOOKUP(B15,EVs!$A$2:$E$5,2,false)</f>
        <v>51.425</v>
      </c>
      <c r="P15" s="15">
        <f t="shared" si="2"/>
        <v>8.083333333</v>
      </c>
      <c r="Q15" s="15">
        <f>N15*VLOOKUP(B15,EVs!$A$2:$E$5,2,false)/P15</f>
        <v>6.36185567</v>
      </c>
      <c r="R15" s="5" t="s">
        <v>24</v>
      </c>
      <c r="S15" s="15">
        <f t="shared" si="7"/>
        <v>771.375</v>
      </c>
      <c r="T15" s="16"/>
      <c r="U15" s="9"/>
      <c r="V15" s="9"/>
    </row>
    <row r="16" ht="22.5" customHeight="1">
      <c r="A16" s="4">
        <v>45953.0</v>
      </c>
      <c r="B16" s="5" t="s">
        <v>22</v>
      </c>
      <c r="C16" s="6"/>
      <c r="D16" s="7"/>
      <c r="E16" s="22" t="s">
        <v>32</v>
      </c>
      <c r="F16" s="8"/>
      <c r="G16" s="9"/>
      <c r="H16" s="23"/>
      <c r="I16" s="11"/>
      <c r="J16" s="12">
        <v>45953.375</v>
      </c>
      <c r="K16" s="13"/>
      <c r="L16" s="14">
        <v>45953.458333333336</v>
      </c>
      <c r="M16" s="7"/>
      <c r="N16" s="8"/>
      <c r="O16" s="15"/>
      <c r="P16" s="15"/>
      <c r="Q16" s="15"/>
      <c r="R16" s="5" t="s">
        <v>33</v>
      </c>
      <c r="S16" s="15"/>
      <c r="T16" s="16"/>
      <c r="U16" s="9"/>
      <c r="V16" s="9"/>
    </row>
    <row r="17" ht="22.5" customHeight="1">
      <c r="A17" s="4">
        <v>45959.0</v>
      </c>
      <c r="B17" s="5" t="s">
        <v>22</v>
      </c>
      <c r="C17" s="6"/>
      <c r="D17" s="7">
        <v>0.27</v>
      </c>
      <c r="E17" s="7">
        <v>0.8</v>
      </c>
      <c r="F17" s="8">
        <f t="shared" ref="F17:F57" si="8">E17-D17</f>
        <v>0.53</v>
      </c>
      <c r="G17" s="9">
        <f>F17*VLOOKUP(B17,EVs!$A$2:$E$5,2,false)</f>
        <v>32.065</v>
      </c>
      <c r="H17" s="17" t="s">
        <v>29</v>
      </c>
      <c r="I17" s="11">
        <f t="shared" ref="I17:I57" si="9">G17/left(H17,3)</f>
        <v>5.256557377</v>
      </c>
      <c r="J17" s="12">
        <v>45959.94583333333</v>
      </c>
      <c r="K17" s="14">
        <f t="shared" ref="K17:K57" si="10">J17+I17/24</f>
        <v>45960.16486</v>
      </c>
      <c r="L17" s="14">
        <v>45960.166666666664</v>
      </c>
      <c r="M17" s="7">
        <v>0.8</v>
      </c>
      <c r="N17" s="8">
        <f t="shared" ref="N17:N57" si="11">M17-D17</f>
        <v>0.53</v>
      </c>
      <c r="O17" s="15">
        <f>N17*VLOOKUP(B17,EVs!$A$2:$E$5,2,false)</f>
        <v>32.065</v>
      </c>
      <c r="P17" s="15">
        <f t="shared" ref="P17:P57" si="12">(L17-J17)*24</f>
        <v>5.3</v>
      </c>
      <c r="Q17" s="15">
        <f>N17*VLOOKUP(B17,EVs!$A$2:$E$5,2,false)/P17</f>
        <v>6.05</v>
      </c>
      <c r="R17" s="5" t="s">
        <v>24</v>
      </c>
      <c r="S17" s="15">
        <f t="shared" ref="S17:S41" si="13">O17*15</f>
        <v>480.975</v>
      </c>
      <c r="T17" s="16"/>
      <c r="U17" s="9"/>
      <c r="V17" s="9"/>
    </row>
    <row r="18" ht="22.5" customHeight="1">
      <c r="A18" s="4">
        <v>45967.0</v>
      </c>
      <c r="B18" s="5" t="s">
        <v>22</v>
      </c>
      <c r="C18" s="6"/>
      <c r="D18" s="7">
        <v>0.29</v>
      </c>
      <c r="E18" s="7">
        <v>0.8</v>
      </c>
      <c r="F18" s="8">
        <f t="shared" si="8"/>
        <v>0.51</v>
      </c>
      <c r="G18" s="9">
        <f>F18*VLOOKUP(B18,EVs!$A$2:$E$5,2,false)</f>
        <v>30.855</v>
      </c>
      <c r="H18" s="17" t="s">
        <v>29</v>
      </c>
      <c r="I18" s="11">
        <f t="shared" si="9"/>
        <v>5.058196721</v>
      </c>
      <c r="J18" s="12">
        <v>45967.82013888889</v>
      </c>
      <c r="K18" s="14">
        <f t="shared" si="10"/>
        <v>45968.0309</v>
      </c>
      <c r="L18" s="14">
        <v>45968.0375</v>
      </c>
      <c r="M18" s="7">
        <v>0.82</v>
      </c>
      <c r="N18" s="8">
        <f t="shared" si="11"/>
        <v>0.53</v>
      </c>
      <c r="O18" s="15">
        <f>N18*VLOOKUP(B18,EVs!$A$2:$E$5,2,false)</f>
        <v>32.065</v>
      </c>
      <c r="P18" s="15">
        <f t="shared" si="12"/>
        <v>5.216666667</v>
      </c>
      <c r="Q18" s="15">
        <f>N18*VLOOKUP(B18,EVs!$A$2:$E$5,2,false)/P18</f>
        <v>6.146645368</v>
      </c>
      <c r="R18" s="5" t="s">
        <v>24</v>
      </c>
      <c r="S18" s="15">
        <f t="shared" si="13"/>
        <v>480.975</v>
      </c>
      <c r="T18" s="16"/>
      <c r="U18" s="9"/>
      <c r="V18" s="9"/>
    </row>
    <row r="19" ht="22.5" customHeight="1">
      <c r="A19" s="4">
        <v>45975.0</v>
      </c>
      <c r="B19" s="5" t="s">
        <v>22</v>
      </c>
      <c r="C19" s="6">
        <v>2550.0</v>
      </c>
      <c r="D19" s="7">
        <v>0.31</v>
      </c>
      <c r="E19" s="20">
        <v>1.0</v>
      </c>
      <c r="F19" s="8">
        <f t="shared" si="8"/>
        <v>0.69</v>
      </c>
      <c r="G19" s="9">
        <f>F19*VLOOKUP(B19,EVs!$A$2:$E$5,2,false)</f>
        <v>41.745</v>
      </c>
      <c r="H19" s="17" t="s">
        <v>29</v>
      </c>
      <c r="I19" s="11">
        <f t="shared" si="9"/>
        <v>6.843442623</v>
      </c>
      <c r="J19" s="12">
        <v>45975.88958333333</v>
      </c>
      <c r="K19" s="14">
        <f t="shared" si="10"/>
        <v>45976.17473</v>
      </c>
      <c r="L19" s="14">
        <v>45976.17569444444</v>
      </c>
      <c r="M19" s="7">
        <v>1.0</v>
      </c>
      <c r="N19" s="8">
        <f t="shared" si="11"/>
        <v>0.69</v>
      </c>
      <c r="O19" s="15">
        <f>N19*VLOOKUP(B19,EVs!$A$2:$E$5,2,false)</f>
        <v>41.745</v>
      </c>
      <c r="P19" s="15">
        <f t="shared" si="12"/>
        <v>6.866666667</v>
      </c>
      <c r="Q19" s="15">
        <f>N19*VLOOKUP(B19,EVs!$A$2:$E$5,2,false)/P19</f>
        <v>6.079368932</v>
      </c>
      <c r="R19" s="5" t="s">
        <v>24</v>
      </c>
      <c r="S19" s="15">
        <f t="shared" si="13"/>
        <v>626.175</v>
      </c>
      <c r="T19" s="16"/>
      <c r="U19" s="9"/>
      <c r="V19" s="9"/>
    </row>
    <row r="20" ht="22.5" customHeight="1">
      <c r="A20" s="4">
        <v>45988.0</v>
      </c>
      <c r="B20" s="5" t="s">
        <v>22</v>
      </c>
      <c r="C20" s="6"/>
      <c r="D20" s="7">
        <v>0.4</v>
      </c>
      <c r="E20" s="20">
        <v>1.0</v>
      </c>
      <c r="F20" s="8">
        <f t="shared" si="8"/>
        <v>0.6</v>
      </c>
      <c r="G20" s="9">
        <f>F20*VLOOKUP(B20,EVs!$A$2:$E$5,2,false)</f>
        <v>36.3</v>
      </c>
      <c r="H20" s="17" t="s">
        <v>29</v>
      </c>
      <c r="I20" s="11">
        <f t="shared" si="9"/>
        <v>5.950819672</v>
      </c>
      <c r="J20" s="12">
        <v>45988.82916666667</v>
      </c>
      <c r="K20" s="14">
        <f t="shared" si="10"/>
        <v>45989.07712</v>
      </c>
      <c r="L20" s="14">
        <v>45989.084027777775</v>
      </c>
      <c r="M20" s="7">
        <v>1.0</v>
      </c>
      <c r="N20" s="8">
        <f t="shared" si="11"/>
        <v>0.6</v>
      </c>
      <c r="O20" s="15">
        <f>N20*VLOOKUP(B20,EVs!$A$2:$E$5,2,false)</f>
        <v>36.3</v>
      </c>
      <c r="P20" s="15">
        <f t="shared" si="12"/>
        <v>6.116666667</v>
      </c>
      <c r="Q20" s="15">
        <f>N20*VLOOKUP(B20,EVs!$A$2:$E$5,2,false)/P20</f>
        <v>5.934604905</v>
      </c>
      <c r="R20" s="5" t="s">
        <v>24</v>
      </c>
      <c r="S20" s="15">
        <f t="shared" si="13"/>
        <v>544.5</v>
      </c>
      <c r="T20" s="16"/>
      <c r="U20" s="9"/>
      <c r="V20" s="9"/>
    </row>
    <row r="21" ht="22.5" customHeight="1">
      <c r="A21" s="4">
        <v>45990.0</v>
      </c>
      <c r="B21" s="5" t="s">
        <v>22</v>
      </c>
      <c r="C21" s="6"/>
      <c r="D21" s="7">
        <v>0.4</v>
      </c>
      <c r="E21" s="7">
        <v>0.65</v>
      </c>
      <c r="F21" s="8">
        <f t="shared" si="8"/>
        <v>0.25</v>
      </c>
      <c r="G21" s="9">
        <f>F21*VLOOKUP(B21,EVs!$A$2:$E$5,2,false)</f>
        <v>15.125</v>
      </c>
      <c r="H21" s="17" t="s">
        <v>29</v>
      </c>
      <c r="I21" s="11">
        <f t="shared" si="9"/>
        <v>2.479508197</v>
      </c>
      <c r="J21" s="12">
        <v>45990.65347222222</v>
      </c>
      <c r="K21" s="14">
        <f t="shared" si="10"/>
        <v>45990.75679</v>
      </c>
      <c r="L21" s="14">
        <v>45990.76736111111</v>
      </c>
      <c r="M21" s="7">
        <v>0.67</v>
      </c>
      <c r="N21" s="8">
        <f t="shared" si="11"/>
        <v>0.27</v>
      </c>
      <c r="O21" s="15">
        <f>N21*VLOOKUP(B21,EVs!$A$2:$E$5,2,false)</f>
        <v>16.335</v>
      </c>
      <c r="P21" s="15">
        <f t="shared" si="12"/>
        <v>2.733333333</v>
      </c>
      <c r="Q21" s="15">
        <f>N21*VLOOKUP(B21,EVs!$A$2:$E$5,2,false)/P21</f>
        <v>5.976219512</v>
      </c>
      <c r="R21" s="5" t="s">
        <v>24</v>
      </c>
      <c r="S21" s="15">
        <f t="shared" si="13"/>
        <v>245.025</v>
      </c>
      <c r="T21" s="16"/>
      <c r="U21" s="9"/>
      <c r="V21" s="9"/>
    </row>
    <row r="22" ht="22.5" customHeight="1">
      <c r="A22" s="4">
        <v>45995.0</v>
      </c>
      <c r="B22" s="5" t="s">
        <v>22</v>
      </c>
      <c r="C22" s="6"/>
      <c r="D22" s="7">
        <v>0.25</v>
      </c>
      <c r="E22" s="7">
        <v>0.8</v>
      </c>
      <c r="F22" s="8">
        <f t="shared" si="8"/>
        <v>0.55</v>
      </c>
      <c r="G22" s="9">
        <f>F22*VLOOKUP(B22,EVs!$A$2:$E$5,2,false)</f>
        <v>33.275</v>
      </c>
      <c r="H22" s="17" t="s">
        <v>29</v>
      </c>
      <c r="I22" s="11">
        <f t="shared" si="9"/>
        <v>5.454918033</v>
      </c>
      <c r="J22" s="12">
        <v>45995.42569444444</v>
      </c>
      <c r="K22" s="14">
        <f t="shared" si="10"/>
        <v>45995.65298</v>
      </c>
      <c r="L22" s="14">
        <v>45995.65277777778</v>
      </c>
      <c r="M22" s="7">
        <v>0.8</v>
      </c>
      <c r="N22" s="8">
        <f t="shared" si="11"/>
        <v>0.55</v>
      </c>
      <c r="O22" s="15">
        <f>N22*VLOOKUP(B22,EVs!$A$2:$E$5,2,false)</f>
        <v>33.275</v>
      </c>
      <c r="P22" s="15">
        <f t="shared" si="12"/>
        <v>5.45</v>
      </c>
      <c r="Q22" s="15">
        <f>N22*VLOOKUP(B22,EVs!$A$2:$E$5,2,false)/P22</f>
        <v>6.105504587</v>
      </c>
      <c r="R22" s="5" t="s">
        <v>24</v>
      </c>
      <c r="S22" s="15">
        <f t="shared" si="13"/>
        <v>499.125</v>
      </c>
      <c r="T22" s="16"/>
      <c r="U22" s="9"/>
      <c r="V22" s="9"/>
    </row>
    <row r="23" ht="22.5" customHeight="1">
      <c r="A23" s="4">
        <v>46002.0</v>
      </c>
      <c r="B23" s="5" t="s">
        <v>22</v>
      </c>
      <c r="C23" s="6"/>
      <c r="D23" s="7">
        <v>0.31</v>
      </c>
      <c r="E23" s="7">
        <v>0.36</v>
      </c>
      <c r="F23" s="8">
        <f t="shared" si="8"/>
        <v>0.05</v>
      </c>
      <c r="G23" s="9">
        <f>F23*VLOOKUP(B23,EVs!$A$2:$E$5,2,false)</f>
        <v>3.025</v>
      </c>
      <c r="H23" s="17" t="s">
        <v>29</v>
      </c>
      <c r="I23" s="11">
        <f t="shared" si="9"/>
        <v>0.4959016393</v>
      </c>
      <c r="J23" s="12">
        <v>46002.720138888886</v>
      </c>
      <c r="K23" s="14">
        <f t="shared" si="10"/>
        <v>46002.7408</v>
      </c>
      <c r="L23" s="14">
        <v>46002.73819444444</v>
      </c>
      <c r="M23" s="7">
        <v>0.36</v>
      </c>
      <c r="N23" s="8">
        <f t="shared" si="11"/>
        <v>0.05</v>
      </c>
      <c r="O23" s="15">
        <f>N23*VLOOKUP(B23,EVs!$A$2:$E$5,2,false)</f>
        <v>3.025</v>
      </c>
      <c r="P23" s="15">
        <f t="shared" si="12"/>
        <v>0.4333333333</v>
      </c>
      <c r="Q23" s="15">
        <f>N23*VLOOKUP(B23,EVs!$A$2:$E$5,2,false)/P23</f>
        <v>6.980769231</v>
      </c>
      <c r="R23" s="5" t="s">
        <v>24</v>
      </c>
      <c r="S23" s="15">
        <f t="shared" si="13"/>
        <v>45.375</v>
      </c>
      <c r="T23" s="16"/>
      <c r="U23" s="9"/>
      <c r="V23" s="9"/>
    </row>
    <row r="24" ht="22.5" customHeight="1">
      <c r="A24" s="4">
        <v>46002.0</v>
      </c>
      <c r="B24" s="5" t="s">
        <v>22</v>
      </c>
      <c r="C24" s="6"/>
      <c r="D24" s="7">
        <v>0.28</v>
      </c>
      <c r="E24" s="7">
        <v>0.8</v>
      </c>
      <c r="F24" s="8">
        <f t="shared" si="8"/>
        <v>0.52</v>
      </c>
      <c r="G24" s="9">
        <f>F24*VLOOKUP(B24,EVs!$A$2:$E$5,2,false)</f>
        <v>31.46</v>
      </c>
      <c r="H24" s="17" t="s">
        <v>29</v>
      </c>
      <c r="I24" s="11">
        <f t="shared" si="9"/>
        <v>5.157377049</v>
      </c>
      <c r="J24" s="12">
        <v>46002.94583333333</v>
      </c>
      <c r="K24" s="14">
        <f t="shared" si="10"/>
        <v>46003.16072</v>
      </c>
      <c r="L24" s="14">
        <v>46003.160724043715</v>
      </c>
      <c r="M24" s="7">
        <v>0.8</v>
      </c>
      <c r="N24" s="8">
        <f t="shared" si="11"/>
        <v>0.52</v>
      </c>
      <c r="O24" s="15">
        <f>N24*VLOOKUP(B24,EVs!$A$2:$E$5,2,false)</f>
        <v>31.46</v>
      </c>
      <c r="P24" s="15">
        <f t="shared" si="12"/>
        <v>5.157377049</v>
      </c>
      <c r="Q24" s="15">
        <f>N24*VLOOKUP(B24,EVs!$A$2:$E$5,2,false)/P24</f>
        <v>6.1</v>
      </c>
      <c r="R24" s="5" t="s">
        <v>24</v>
      </c>
      <c r="S24" s="15">
        <f t="shared" si="13"/>
        <v>471.9</v>
      </c>
      <c r="T24" s="16"/>
      <c r="U24" s="9"/>
      <c r="V24" s="9"/>
    </row>
    <row r="25" ht="22.5" customHeight="1">
      <c r="A25" s="4">
        <v>46014.0</v>
      </c>
      <c r="B25" s="5" t="s">
        <v>22</v>
      </c>
      <c r="C25" s="6">
        <v>3500.0</v>
      </c>
      <c r="D25" s="7">
        <v>0.28</v>
      </c>
      <c r="E25" s="7">
        <v>0.56</v>
      </c>
      <c r="F25" s="8">
        <f t="shared" si="8"/>
        <v>0.28</v>
      </c>
      <c r="G25" s="9">
        <f>F25*VLOOKUP(B25,EVs!$A$2:$E$5,2,false)</f>
        <v>16.94</v>
      </c>
      <c r="H25" s="17" t="s">
        <v>29</v>
      </c>
      <c r="I25" s="11">
        <f t="shared" si="9"/>
        <v>2.77704918</v>
      </c>
      <c r="J25" s="12">
        <v>46014.347916666666</v>
      </c>
      <c r="K25" s="14">
        <f t="shared" si="10"/>
        <v>46014.46363</v>
      </c>
      <c r="L25" s="14">
        <v>46014.46666666667</v>
      </c>
      <c r="M25" s="7">
        <v>0.56</v>
      </c>
      <c r="N25" s="8">
        <f t="shared" si="11"/>
        <v>0.28</v>
      </c>
      <c r="O25" s="15">
        <f>N25*VLOOKUP(B25,EVs!$A$2:$E$5,2,false)</f>
        <v>16.94</v>
      </c>
      <c r="P25" s="15">
        <f t="shared" si="12"/>
        <v>2.85</v>
      </c>
      <c r="Q25" s="15">
        <f>N25*VLOOKUP(B25,EVs!$A$2:$E$5,2,false)/P25</f>
        <v>5.943859649</v>
      </c>
      <c r="R25" s="5" t="s">
        <v>24</v>
      </c>
      <c r="S25" s="15">
        <f t="shared" si="13"/>
        <v>254.1</v>
      </c>
      <c r="T25" s="16"/>
      <c r="U25" s="9"/>
      <c r="V25" s="9"/>
    </row>
    <row r="26" ht="22.5" customHeight="1">
      <c r="A26" s="4">
        <v>46014.0</v>
      </c>
      <c r="B26" s="5" t="s">
        <v>22</v>
      </c>
      <c r="C26" s="6">
        <v>3519.0</v>
      </c>
      <c r="D26" s="7">
        <v>0.49</v>
      </c>
      <c r="E26" s="20">
        <v>1.0</v>
      </c>
      <c r="F26" s="8">
        <f t="shared" si="8"/>
        <v>0.51</v>
      </c>
      <c r="G26" s="9">
        <f>F26*VLOOKUP(B26,EVs!$A$2:$E$5,2,false)</f>
        <v>30.855</v>
      </c>
      <c r="H26" s="17" t="s">
        <v>29</v>
      </c>
      <c r="I26" s="11">
        <f t="shared" si="9"/>
        <v>5.058196721</v>
      </c>
      <c r="J26" s="12">
        <v>46014.666666666664</v>
      </c>
      <c r="K26" s="14">
        <f t="shared" si="10"/>
        <v>46014.87742</v>
      </c>
      <c r="L26" s="14">
        <v>46014.876388888886</v>
      </c>
      <c r="M26" s="7">
        <v>1.0</v>
      </c>
      <c r="N26" s="8">
        <f t="shared" si="11"/>
        <v>0.51</v>
      </c>
      <c r="O26" s="15">
        <f>N26*VLOOKUP(B26,EVs!$A$2:$E$5,2,false)</f>
        <v>30.855</v>
      </c>
      <c r="P26" s="15">
        <f t="shared" si="12"/>
        <v>5.033333333</v>
      </c>
      <c r="Q26" s="15">
        <f>N26*VLOOKUP(B26,EVs!$A$2:$E$5,2,false)/P26</f>
        <v>6.13013245</v>
      </c>
      <c r="R26" s="5" t="s">
        <v>24</v>
      </c>
      <c r="S26" s="15">
        <f t="shared" si="13"/>
        <v>462.825</v>
      </c>
      <c r="T26" s="16"/>
      <c r="U26" s="9"/>
      <c r="V26" s="9"/>
    </row>
    <row r="27" ht="22.5" customHeight="1">
      <c r="A27" s="4">
        <v>46022.0</v>
      </c>
      <c r="B27" s="5" t="s">
        <v>22</v>
      </c>
      <c r="C27" s="6">
        <v>3708.0</v>
      </c>
      <c r="D27" s="7">
        <v>0.4</v>
      </c>
      <c r="E27" s="20">
        <v>1.0</v>
      </c>
      <c r="F27" s="8">
        <f t="shared" si="8"/>
        <v>0.6</v>
      </c>
      <c r="G27" s="9">
        <f>F27*VLOOKUP(B27,EVs!$A$2:$E$5,2,false)</f>
        <v>36.3</v>
      </c>
      <c r="H27" s="17" t="s">
        <v>29</v>
      </c>
      <c r="I27" s="11">
        <f t="shared" si="9"/>
        <v>5.950819672</v>
      </c>
      <c r="J27" s="12">
        <v>46022.99166666667</v>
      </c>
      <c r="K27" s="14">
        <f t="shared" si="10"/>
        <v>46023.23962</v>
      </c>
      <c r="L27" s="14">
        <v>46023.25208333333</v>
      </c>
      <c r="M27" s="7">
        <v>1.0</v>
      </c>
      <c r="N27" s="8">
        <f t="shared" si="11"/>
        <v>0.6</v>
      </c>
      <c r="O27" s="15">
        <f>N27*VLOOKUP(B27,EVs!$A$2:$E$5,2,false)</f>
        <v>36.3</v>
      </c>
      <c r="P27" s="15">
        <f t="shared" si="12"/>
        <v>6.25</v>
      </c>
      <c r="Q27" s="15">
        <f>N27*VLOOKUP(B27,EVs!$A$2:$E$5,2,false)/P27</f>
        <v>5.808</v>
      </c>
      <c r="R27" s="5" t="s">
        <v>24</v>
      </c>
      <c r="S27" s="15">
        <f t="shared" si="13"/>
        <v>544.5</v>
      </c>
      <c r="T27" s="16">
        <f t="shared" ref="T27:T57" si="14">(C27-C26)/((M26-D27)*60.5)</f>
        <v>5.20661157</v>
      </c>
      <c r="U27" s="9">
        <f t="shared" ref="U27:U57" si="15">C27-C26</f>
        <v>189</v>
      </c>
      <c r="V27" s="9">
        <f t="shared" ref="V27:V57" si="16">A27-A26</f>
        <v>8</v>
      </c>
    </row>
    <row r="28" ht="22.5" customHeight="1">
      <c r="A28" s="4">
        <v>46028.0</v>
      </c>
      <c r="B28" s="5" t="s">
        <v>22</v>
      </c>
      <c r="C28" s="6">
        <v>3985.0</v>
      </c>
      <c r="D28" s="7">
        <v>0.29</v>
      </c>
      <c r="E28" s="7">
        <v>0.8</v>
      </c>
      <c r="F28" s="8">
        <f t="shared" si="8"/>
        <v>0.51</v>
      </c>
      <c r="G28" s="9">
        <f>F28*VLOOKUP(B28,EVs!$A$2:$E$5,2,false)</f>
        <v>30.855</v>
      </c>
      <c r="H28" s="17" t="s">
        <v>29</v>
      </c>
      <c r="I28" s="11">
        <f t="shared" si="9"/>
        <v>5.058196721</v>
      </c>
      <c r="J28" s="12">
        <v>46028.83263888889</v>
      </c>
      <c r="K28" s="14">
        <f t="shared" si="10"/>
        <v>46029.0434</v>
      </c>
      <c r="L28" s="14">
        <v>46029.06319444445</v>
      </c>
      <c r="M28" s="7">
        <v>0.85</v>
      </c>
      <c r="N28" s="8">
        <f t="shared" si="11"/>
        <v>0.56</v>
      </c>
      <c r="O28" s="15">
        <f>N28*VLOOKUP(B28,EVs!$A$2:$E$5,2,false)</f>
        <v>33.88</v>
      </c>
      <c r="P28" s="15">
        <f t="shared" si="12"/>
        <v>5.533333333</v>
      </c>
      <c r="Q28" s="15">
        <f>N28*VLOOKUP(B28,EVs!$A$2:$E$5,2,false)/P28</f>
        <v>6.122891566</v>
      </c>
      <c r="R28" s="5" t="s">
        <v>24</v>
      </c>
      <c r="S28" s="15">
        <f t="shared" si="13"/>
        <v>508.2</v>
      </c>
      <c r="T28" s="16">
        <f t="shared" si="14"/>
        <v>6.448609009</v>
      </c>
      <c r="U28" s="9">
        <f t="shared" si="15"/>
        <v>277</v>
      </c>
      <c r="V28" s="9">
        <f t="shared" si="16"/>
        <v>6</v>
      </c>
    </row>
    <row r="29" ht="22.5" customHeight="1">
      <c r="A29" s="4">
        <v>46037.0</v>
      </c>
      <c r="B29" s="5" t="s">
        <v>22</v>
      </c>
      <c r="C29" s="6">
        <v>4193.0</v>
      </c>
      <c r="D29" s="7">
        <v>0.23</v>
      </c>
      <c r="E29" s="7">
        <v>0.8</v>
      </c>
      <c r="F29" s="8">
        <f t="shared" si="8"/>
        <v>0.57</v>
      </c>
      <c r="G29" s="9">
        <f>F29*VLOOKUP(B29,EVs!$A$2:$E$5,2,false)</f>
        <v>34.485</v>
      </c>
      <c r="H29" s="17" t="s">
        <v>29</v>
      </c>
      <c r="I29" s="11">
        <f t="shared" si="9"/>
        <v>5.653278689</v>
      </c>
      <c r="J29" s="12">
        <v>46037.48402777778</v>
      </c>
      <c r="K29" s="14">
        <f t="shared" si="10"/>
        <v>46037.71958</v>
      </c>
      <c r="L29" s="14">
        <v>46037.72222222222</v>
      </c>
      <c r="M29" s="7">
        <v>0.81</v>
      </c>
      <c r="N29" s="8">
        <f t="shared" si="11"/>
        <v>0.58</v>
      </c>
      <c r="O29" s="15">
        <f>N29*VLOOKUP(B29,EVs!$A$2:$E$5,2,false)</f>
        <v>35.09</v>
      </c>
      <c r="P29" s="15">
        <f t="shared" si="12"/>
        <v>5.716666667</v>
      </c>
      <c r="Q29" s="15">
        <f>N29*VLOOKUP(B29,EVs!$A$2:$E$5,2,false)/P29</f>
        <v>6.13819242</v>
      </c>
      <c r="R29" s="5" t="s">
        <v>24</v>
      </c>
      <c r="S29" s="15">
        <f t="shared" si="13"/>
        <v>526.35</v>
      </c>
      <c r="T29" s="16">
        <f t="shared" si="14"/>
        <v>5.54518795</v>
      </c>
      <c r="U29" s="9">
        <f t="shared" si="15"/>
        <v>208</v>
      </c>
      <c r="V29" s="9">
        <f t="shared" si="16"/>
        <v>9</v>
      </c>
    </row>
    <row r="30" ht="22.5" customHeight="1">
      <c r="A30" s="4">
        <v>46049.0</v>
      </c>
      <c r="B30" s="5" t="s">
        <v>22</v>
      </c>
      <c r="C30" s="6">
        <v>4364.0</v>
      </c>
      <c r="D30" s="7">
        <v>0.26</v>
      </c>
      <c r="E30" s="7">
        <v>0.93</v>
      </c>
      <c r="F30" s="8">
        <f t="shared" si="8"/>
        <v>0.67</v>
      </c>
      <c r="G30" s="9">
        <f>F30*VLOOKUP(B30,EVs!$A$2:$E$5,2,false)</f>
        <v>40.535</v>
      </c>
      <c r="H30" s="17" t="s">
        <v>29</v>
      </c>
      <c r="I30" s="11">
        <f t="shared" si="9"/>
        <v>6.645081967</v>
      </c>
      <c r="J30" s="12">
        <v>46049.538194444445</v>
      </c>
      <c r="K30" s="14">
        <f t="shared" si="10"/>
        <v>46049.81507</v>
      </c>
      <c r="L30" s="14">
        <v>46049.82361111111</v>
      </c>
      <c r="M30" s="7">
        <v>0.93</v>
      </c>
      <c r="N30" s="8">
        <f t="shared" si="11"/>
        <v>0.67</v>
      </c>
      <c r="O30" s="15">
        <f>N30*VLOOKUP(B30,EVs!$A$2:$E$5,2,false)</f>
        <v>40.535</v>
      </c>
      <c r="P30" s="15">
        <f t="shared" si="12"/>
        <v>6.85</v>
      </c>
      <c r="Q30" s="15">
        <f>N30*VLOOKUP(B30,EVs!$A$2:$E$5,2,false)/P30</f>
        <v>5.917518248</v>
      </c>
      <c r="R30" s="5" t="s">
        <v>24</v>
      </c>
      <c r="S30" s="15">
        <f t="shared" si="13"/>
        <v>608.025</v>
      </c>
      <c r="T30" s="16">
        <f t="shared" si="14"/>
        <v>5.138993238</v>
      </c>
      <c r="U30" s="9">
        <f t="shared" si="15"/>
        <v>171</v>
      </c>
      <c r="V30" s="9">
        <f t="shared" si="16"/>
        <v>12</v>
      </c>
    </row>
    <row r="31" ht="22.5" customHeight="1">
      <c r="A31" s="4">
        <v>46063.0</v>
      </c>
      <c r="B31" s="5" t="s">
        <v>22</v>
      </c>
      <c r="C31" s="6">
        <v>4573.0</v>
      </c>
      <c r="D31" s="7">
        <v>0.25</v>
      </c>
      <c r="E31" s="7">
        <v>0.72</v>
      </c>
      <c r="F31" s="8">
        <f t="shared" si="8"/>
        <v>0.47</v>
      </c>
      <c r="G31" s="9">
        <f>F31*VLOOKUP(B31,EVs!$A$2:$E$5,2,false)</f>
        <v>28.435</v>
      </c>
      <c r="H31" s="17" t="s">
        <v>29</v>
      </c>
      <c r="I31" s="11">
        <f t="shared" si="9"/>
        <v>4.66147541</v>
      </c>
      <c r="J31" s="12">
        <v>46063.61736111111</v>
      </c>
      <c r="K31" s="14">
        <f t="shared" si="10"/>
        <v>46063.81159</v>
      </c>
      <c r="L31" s="14">
        <v>46063.81180555555</v>
      </c>
      <c r="M31" s="7">
        <v>0.72</v>
      </c>
      <c r="N31" s="8">
        <f t="shared" si="11"/>
        <v>0.47</v>
      </c>
      <c r="O31" s="15">
        <f>N31*VLOOKUP(B31,EVs!$A$2:$E$5,2,false)</f>
        <v>28.435</v>
      </c>
      <c r="P31" s="15">
        <f t="shared" si="12"/>
        <v>4.666666667</v>
      </c>
      <c r="Q31" s="15">
        <f>N31*VLOOKUP(B31,EVs!$A$2:$E$5,2,false)/P31</f>
        <v>6.093214286</v>
      </c>
      <c r="R31" s="5" t="s">
        <v>24</v>
      </c>
      <c r="S31" s="15">
        <f t="shared" si="13"/>
        <v>426.525</v>
      </c>
      <c r="T31" s="16">
        <f t="shared" si="14"/>
        <v>5.080213904</v>
      </c>
      <c r="U31" s="9">
        <f t="shared" si="15"/>
        <v>209</v>
      </c>
      <c r="V31" s="9">
        <f t="shared" si="16"/>
        <v>14</v>
      </c>
    </row>
    <row r="32" ht="22.5" customHeight="1">
      <c r="A32" s="24">
        <v>46063.0</v>
      </c>
      <c r="B32" s="25" t="s">
        <v>22</v>
      </c>
      <c r="C32" s="26">
        <v>4581.0</v>
      </c>
      <c r="D32" s="27">
        <v>0.7</v>
      </c>
      <c r="E32" s="27">
        <v>0.81</v>
      </c>
      <c r="F32" s="28">
        <f t="shared" si="8"/>
        <v>0.11</v>
      </c>
      <c r="G32" s="29">
        <f>F32*VLOOKUP(B32,EVs!$A$2:$E$5,2,false)</f>
        <v>6.655</v>
      </c>
      <c r="H32" s="30" t="s">
        <v>29</v>
      </c>
      <c r="I32" s="31">
        <f t="shared" si="9"/>
        <v>1.090983607</v>
      </c>
      <c r="J32" s="32">
        <v>46063.83472222222</v>
      </c>
      <c r="K32" s="33">
        <f t="shared" si="10"/>
        <v>46063.88018</v>
      </c>
      <c r="L32" s="34">
        <v>46063.88125</v>
      </c>
      <c r="M32" s="27">
        <v>0.81</v>
      </c>
      <c r="N32" s="28">
        <f t="shared" si="11"/>
        <v>0.11</v>
      </c>
      <c r="O32" s="35">
        <f>N32*VLOOKUP(B32,EVs!$A$2:$E$5,2,false)</f>
        <v>6.655</v>
      </c>
      <c r="P32" s="35">
        <f t="shared" si="12"/>
        <v>1.116666667</v>
      </c>
      <c r="Q32" s="35">
        <f>N32*VLOOKUP(B32,EVs!$A$2:$E$5,2,false)/P32</f>
        <v>5.959701493</v>
      </c>
      <c r="R32" s="36" t="s">
        <v>24</v>
      </c>
      <c r="S32" s="35">
        <f t="shared" si="13"/>
        <v>99.825</v>
      </c>
      <c r="T32" s="37">
        <f t="shared" si="14"/>
        <v>6.611570248</v>
      </c>
      <c r="U32" s="29">
        <f t="shared" si="15"/>
        <v>8</v>
      </c>
      <c r="V32" s="29">
        <f t="shared" si="16"/>
        <v>0</v>
      </c>
      <c r="W32" s="38"/>
      <c r="X32" s="39"/>
      <c r="Y32" s="38"/>
      <c r="Z32" s="38"/>
      <c r="AA32" s="38"/>
      <c r="AB32" s="38"/>
      <c r="AC32" s="38"/>
      <c r="AD32" s="38"/>
      <c r="AE32" s="38"/>
    </row>
    <row r="33" ht="22.5" customHeight="1">
      <c r="A33" s="24">
        <v>46069.0</v>
      </c>
      <c r="B33" s="25" t="s">
        <v>22</v>
      </c>
      <c r="C33" s="26">
        <v>4760.0</v>
      </c>
      <c r="D33" s="27">
        <v>0.24</v>
      </c>
      <c r="E33" s="20">
        <v>1.0</v>
      </c>
      <c r="F33" s="28">
        <f t="shared" si="8"/>
        <v>0.76</v>
      </c>
      <c r="G33" s="29">
        <f>F33*VLOOKUP(B33,EVs!$A$2:$E$5,2,false)</f>
        <v>45.98</v>
      </c>
      <c r="H33" s="30" t="s">
        <v>29</v>
      </c>
      <c r="I33" s="31">
        <f t="shared" si="9"/>
        <v>7.537704918</v>
      </c>
      <c r="J33" s="32">
        <v>46069.71319444444</v>
      </c>
      <c r="K33" s="33">
        <f t="shared" si="10"/>
        <v>46070.02727</v>
      </c>
      <c r="L33" s="34">
        <v>46070.02847222222</v>
      </c>
      <c r="M33" s="27">
        <v>1.0</v>
      </c>
      <c r="N33" s="28">
        <f t="shared" si="11"/>
        <v>0.76</v>
      </c>
      <c r="O33" s="35">
        <f>N33*VLOOKUP(B33,EVs!$A$2:$E$5,2,false)</f>
        <v>45.98</v>
      </c>
      <c r="P33" s="35">
        <f t="shared" si="12"/>
        <v>7.566666667</v>
      </c>
      <c r="Q33" s="35">
        <f>N33*VLOOKUP(B33,EVs!$A$2:$E$5,2,false)/P33</f>
        <v>6.076651982</v>
      </c>
      <c r="R33" s="36" t="s">
        <v>24</v>
      </c>
      <c r="S33" s="35">
        <f t="shared" si="13"/>
        <v>689.7</v>
      </c>
      <c r="T33" s="37">
        <f t="shared" si="14"/>
        <v>5.190662607</v>
      </c>
      <c r="U33" s="29">
        <f t="shared" si="15"/>
        <v>179</v>
      </c>
      <c r="V33" s="29">
        <f t="shared" si="16"/>
        <v>6</v>
      </c>
      <c r="W33" s="38"/>
      <c r="X33" s="38"/>
      <c r="Y33" s="38"/>
      <c r="Z33" s="38"/>
      <c r="AA33" s="38"/>
      <c r="AB33" s="38"/>
      <c r="AC33" s="38"/>
      <c r="AD33" s="38"/>
      <c r="AE33" s="38"/>
    </row>
    <row r="34" ht="22.5" customHeight="1">
      <c r="A34" s="24">
        <v>46083.0</v>
      </c>
      <c r="B34" s="25" t="s">
        <v>22</v>
      </c>
      <c r="C34" s="26">
        <v>5000.0</v>
      </c>
      <c r="D34" s="27">
        <v>0.2</v>
      </c>
      <c r="E34" s="7">
        <v>0.81</v>
      </c>
      <c r="F34" s="28">
        <f t="shared" si="8"/>
        <v>0.61</v>
      </c>
      <c r="G34" s="29">
        <f>F34*VLOOKUP(B34,EVs!$A$2:$E$5,2,false)</f>
        <v>36.905</v>
      </c>
      <c r="H34" s="30" t="s">
        <v>29</v>
      </c>
      <c r="I34" s="31">
        <f t="shared" si="9"/>
        <v>6.05</v>
      </c>
      <c r="J34" s="32">
        <v>46083.740277777775</v>
      </c>
      <c r="K34" s="33">
        <f t="shared" si="10"/>
        <v>46083.99236</v>
      </c>
      <c r="L34" s="34">
        <v>46083.99166666667</v>
      </c>
      <c r="M34" s="27">
        <v>0.81</v>
      </c>
      <c r="N34" s="28">
        <f t="shared" si="11"/>
        <v>0.61</v>
      </c>
      <c r="O34" s="35">
        <f>N34*VLOOKUP(B34,EVs!$A$2:$E$5,2,false)</f>
        <v>36.905</v>
      </c>
      <c r="P34" s="35">
        <f t="shared" si="12"/>
        <v>6.033333333</v>
      </c>
      <c r="Q34" s="35">
        <f>N34*VLOOKUP(B34,EVs!$A$2:$E$5,2,false)/P34</f>
        <v>6.116850829</v>
      </c>
      <c r="R34" s="36" t="s">
        <v>24</v>
      </c>
      <c r="S34" s="35">
        <f t="shared" si="13"/>
        <v>553.575</v>
      </c>
      <c r="T34" s="37">
        <f t="shared" si="14"/>
        <v>4.958677686</v>
      </c>
      <c r="U34" s="29">
        <f t="shared" si="15"/>
        <v>240</v>
      </c>
      <c r="V34" s="29">
        <f t="shared" si="16"/>
        <v>14</v>
      </c>
      <c r="W34" s="39" t="s">
        <v>34</v>
      </c>
      <c r="X34" s="38"/>
      <c r="Y34" s="38"/>
      <c r="Z34" s="38"/>
      <c r="AA34" s="38"/>
      <c r="AB34" s="38"/>
      <c r="AC34" s="38"/>
      <c r="AD34" s="38"/>
      <c r="AE34" s="38"/>
    </row>
    <row r="35" ht="22.5" customHeight="1">
      <c r="A35" s="40">
        <v>46092.0</v>
      </c>
      <c r="B35" s="41" t="s">
        <v>22</v>
      </c>
      <c r="C35" s="42">
        <v>5177.0</v>
      </c>
      <c r="D35" s="43">
        <v>0.22</v>
      </c>
      <c r="E35" s="44">
        <v>0.89</v>
      </c>
      <c r="F35" s="45">
        <f t="shared" si="8"/>
        <v>0.67</v>
      </c>
      <c r="G35" s="46">
        <f>F35*VLOOKUP(B35,EVs!$A$2:$E$5,2,false)</f>
        <v>40.535</v>
      </c>
      <c r="H35" s="30" t="s">
        <v>29</v>
      </c>
      <c r="I35" s="47">
        <f t="shared" si="9"/>
        <v>6.645081967</v>
      </c>
      <c r="J35" s="32">
        <v>46092.50347222222</v>
      </c>
      <c r="K35" s="48">
        <f t="shared" si="10"/>
        <v>46092.78035</v>
      </c>
      <c r="L35" s="49">
        <v>46092.782638888886</v>
      </c>
      <c r="M35" s="43">
        <v>0.89</v>
      </c>
      <c r="N35" s="45">
        <f t="shared" si="11"/>
        <v>0.67</v>
      </c>
      <c r="O35" s="50">
        <f>N35*VLOOKUP(B35,EVs!$A$2:$E$5,2,false)</f>
        <v>40.535</v>
      </c>
      <c r="P35" s="50">
        <f t="shared" si="12"/>
        <v>6.7</v>
      </c>
      <c r="Q35" s="50">
        <f>N35*VLOOKUP(B35,EVs!$A$2:$E$5,2,false)/P35</f>
        <v>6.05</v>
      </c>
      <c r="R35" s="41" t="s">
        <v>24</v>
      </c>
      <c r="S35" s="50">
        <f t="shared" si="13"/>
        <v>608.025</v>
      </c>
      <c r="T35" s="51">
        <f t="shared" si="14"/>
        <v>4.958677686</v>
      </c>
      <c r="U35" s="46">
        <f t="shared" si="15"/>
        <v>177</v>
      </c>
      <c r="V35" s="29">
        <f t="shared" si="16"/>
        <v>9</v>
      </c>
    </row>
    <row r="36" ht="22.5" customHeight="1">
      <c r="A36" s="40">
        <v>46096.0</v>
      </c>
      <c r="B36" s="41" t="s">
        <v>22</v>
      </c>
      <c r="C36" s="42">
        <v>5407.0</v>
      </c>
      <c r="D36" s="43">
        <v>0.28</v>
      </c>
      <c r="E36" s="44">
        <v>0.45</v>
      </c>
      <c r="F36" s="45">
        <f t="shared" si="8"/>
        <v>0.17</v>
      </c>
      <c r="G36" s="46">
        <f>F36*VLOOKUP(B36,EVs!$A$2:$E$5,2,false)</f>
        <v>10.285</v>
      </c>
      <c r="H36" s="30" t="s">
        <v>29</v>
      </c>
      <c r="I36" s="47">
        <f t="shared" si="9"/>
        <v>1.686065574</v>
      </c>
      <c r="J36" s="32">
        <v>46096.31875</v>
      </c>
      <c r="K36" s="48">
        <f t="shared" si="10"/>
        <v>46096.389</v>
      </c>
      <c r="L36" s="49">
        <v>46096.38958333333</v>
      </c>
      <c r="M36" s="43">
        <v>0.45</v>
      </c>
      <c r="N36" s="45">
        <f t="shared" si="11"/>
        <v>0.17</v>
      </c>
      <c r="O36" s="50">
        <f>N36*VLOOKUP(B36,EVs!$A$2:$E$5,2,false)</f>
        <v>10.285</v>
      </c>
      <c r="P36" s="50">
        <f t="shared" si="12"/>
        <v>1.7</v>
      </c>
      <c r="Q36" s="50">
        <f>N36*VLOOKUP(B36,EVs!$A$2:$E$5,2,false)/P36</f>
        <v>6.05</v>
      </c>
      <c r="R36" s="41" t="s">
        <v>24</v>
      </c>
      <c r="S36" s="50">
        <f t="shared" si="13"/>
        <v>154.275</v>
      </c>
      <c r="T36" s="51">
        <f t="shared" si="14"/>
        <v>6.232217857</v>
      </c>
      <c r="U36" s="46">
        <f t="shared" si="15"/>
        <v>230</v>
      </c>
      <c r="V36" s="29">
        <f t="shared" si="16"/>
        <v>4</v>
      </c>
    </row>
    <row r="37" ht="22.5" customHeight="1">
      <c r="A37" s="40">
        <v>46096.0</v>
      </c>
      <c r="B37" s="41" t="s">
        <v>22</v>
      </c>
      <c r="C37" s="42">
        <v>5436.0</v>
      </c>
      <c r="D37" s="43">
        <v>0.37</v>
      </c>
      <c r="E37" s="20">
        <v>1.0</v>
      </c>
      <c r="F37" s="45">
        <f t="shared" si="8"/>
        <v>0.63</v>
      </c>
      <c r="G37" s="46">
        <f>F37*VLOOKUP(B37,EVs!$A$2:$E$5,2,false)</f>
        <v>38.115</v>
      </c>
      <c r="H37" s="30" t="s">
        <v>29</v>
      </c>
      <c r="I37" s="47">
        <f t="shared" si="9"/>
        <v>6.248360656</v>
      </c>
      <c r="J37" s="32">
        <v>46096.65833333333</v>
      </c>
      <c r="K37" s="48">
        <f t="shared" si="10"/>
        <v>46096.91868</v>
      </c>
      <c r="L37" s="49">
        <v>46096.90694444445</v>
      </c>
      <c r="M37" s="43">
        <v>1.0</v>
      </c>
      <c r="N37" s="45">
        <f t="shared" si="11"/>
        <v>0.63</v>
      </c>
      <c r="O37" s="50">
        <f>N37*VLOOKUP(B37,EVs!$A$2:$E$5,2,false)</f>
        <v>38.115</v>
      </c>
      <c r="P37" s="50">
        <f t="shared" si="12"/>
        <v>5.966666667</v>
      </c>
      <c r="Q37" s="50">
        <f>N37*VLOOKUP(B37,EVs!$A$2:$E$5,2,false)/P37</f>
        <v>6.387988827</v>
      </c>
      <c r="R37" s="41" t="s">
        <v>24</v>
      </c>
      <c r="S37" s="50">
        <f t="shared" si="13"/>
        <v>571.725</v>
      </c>
      <c r="T37" s="51">
        <f t="shared" si="14"/>
        <v>5.991735537</v>
      </c>
      <c r="U37" s="46">
        <f t="shared" si="15"/>
        <v>29</v>
      </c>
      <c r="V37" s="29">
        <f t="shared" si="16"/>
        <v>0</v>
      </c>
    </row>
    <row r="38" ht="22.5" customHeight="1">
      <c r="A38" s="40">
        <v>46101.0</v>
      </c>
      <c r="B38" s="41" t="s">
        <v>22</v>
      </c>
      <c r="C38" s="42">
        <v>5533.0</v>
      </c>
      <c r="D38" s="43">
        <v>0.73</v>
      </c>
      <c r="E38" s="7">
        <v>0.86</v>
      </c>
      <c r="F38" s="45">
        <f t="shared" si="8"/>
        <v>0.13</v>
      </c>
      <c r="G38" s="46">
        <f>F38*VLOOKUP(B38,EVs!$A$2:$E$5,2,false)</f>
        <v>7.865</v>
      </c>
      <c r="H38" s="30" t="s">
        <v>29</v>
      </c>
      <c r="I38" s="47">
        <f t="shared" si="9"/>
        <v>1.289344262</v>
      </c>
      <c r="J38" s="32">
        <v>46101.395833333336</v>
      </c>
      <c r="K38" s="48">
        <f t="shared" si="10"/>
        <v>46101.44956</v>
      </c>
      <c r="L38" s="49">
        <v>46101.45694444444</v>
      </c>
      <c r="M38" s="43">
        <v>0.86</v>
      </c>
      <c r="N38" s="45">
        <f t="shared" si="11"/>
        <v>0.13</v>
      </c>
      <c r="O38" s="50">
        <f>N38*VLOOKUP(B38,EVs!$A$2:$E$5,2,false)</f>
        <v>7.865</v>
      </c>
      <c r="P38" s="50">
        <f t="shared" si="12"/>
        <v>1.466666667</v>
      </c>
      <c r="Q38" s="50">
        <f>N38*VLOOKUP(B38,EVs!$A$2:$E$5,2,false)/P38</f>
        <v>5.3625</v>
      </c>
      <c r="R38" s="41" t="s">
        <v>24</v>
      </c>
      <c r="S38" s="50">
        <f t="shared" si="13"/>
        <v>117.975</v>
      </c>
      <c r="T38" s="51">
        <f t="shared" si="14"/>
        <v>5.938169575</v>
      </c>
      <c r="U38" s="46">
        <f t="shared" si="15"/>
        <v>97</v>
      </c>
      <c r="V38" s="29">
        <f t="shared" si="16"/>
        <v>5</v>
      </c>
    </row>
    <row r="39" ht="22.5" customHeight="1">
      <c r="A39" s="40">
        <v>46101.0</v>
      </c>
      <c r="B39" s="41" t="s">
        <v>22</v>
      </c>
      <c r="C39" s="42">
        <v>5706.0</v>
      </c>
      <c r="D39" s="43">
        <v>0.41</v>
      </c>
      <c r="E39" s="7">
        <v>0.53</v>
      </c>
      <c r="F39" s="45">
        <f t="shared" si="8"/>
        <v>0.12</v>
      </c>
      <c r="G39" s="46">
        <f>F39*VLOOKUP(B39,EVs!$A$2:$E$5,2,false)</f>
        <v>7.26</v>
      </c>
      <c r="H39" s="30" t="s">
        <v>29</v>
      </c>
      <c r="I39" s="47">
        <f t="shared" si="9"/>
        <v>1.190163934</v>
      </c>
      <c r="J39" s="32">
        <v>46101.711805555555</v>
      </c>
      <c r="K39" s="48">
        <f t="shared" si="10"/>
        <v>46101.7614</v>
      </c>
      <c r="L39" s="49">
        <v>46101.76388888889</v>
      </c>
      <c r="M39" s="43">
        <v>0.53</v>
      </c>
      <c r="N39" s="45">
        <f t="shared" si="11"/>
        <v>0.12</v>
      </c>
      <c r="O39" s="50">
        <f>N39*VLOOKUP(B39,EVs!$A$2:$E$5,2,false)</f>
        <v>7.26</v>
      </c>
      <c r="P39" s="50">
        <f t="shared" si="12"/>
        <v>1.25</v>
      </c>
      <c r="Q39" s="50">
        <f>N39*VLOOKUP(B39,EVs!$A$2:$E$5,2,false)/P39</f>
        <v>5.808</v>
      </c>
      <c r="R39" s="41" t="s">
        <v>24</v>
      </c>
      <c r="S39" s="50">
        <f t="shared" si="13"/>
        <v>108.9</v>
      </c>
      <c r="T39" s="51">
        <f t="shared" si="14"/>
        <v>6.354453627</v>
      </c>
      <c r="U39" s="46">
        <f t="shared" si="15"/>
        <v>173</v>
      </c>
      <c r="V39" s="29">
        <f t="shared" si="16"/>
        <v>0</v>
      </c>
      <c r="W39" s="52" t="s">
        <v>35</v>
      </c>
    </row>
    <row r="40" ht="22.5" customHeight="1">
      <c r="A40" s="40">
        <v>46101.0</v>
      </c>
      <c r="B40" s="41" t="s">
        <v>22</v>
      </c>
      <c r="C40" s="42">
        <v>5838.0</v>
      </c>
      <c r="D40" s="43">
        <v>0.19</v>
      </c>
      <c r="E40" s="7">
        <v>0.85</v>
      </c>
      <c r="F40" s="45">
        <f t="shared" si="8"/>
        <v>0.66</v>
      </c>
      <c r="G40" s="46">
        <f>F40*VLOOKUP(B40,EVs!$A$2:$E$5,2,false)</f>
        <v>39.93</v>
      </c>
      <c r="H40" s="30" t="s">
        <v>29</v>
      </c>
      <c r="I40" s="47">
        <f t="shared" si="9"/>
        <v>6.545901639</v>
      </c>
      <c r="J40" s="32">
        <v>46101.89375</v>
      </c>
      <c r="K40" s="48">
        <f t="shared" si="10"/>
        <v>46102.1665</v>
      </c>
      <c r="L40" s="49">
        <v>46102.166666666664</v>
      </c>
      <c r="M40" s="7">
        <v>0.85</v>
      </c>
      <c r="N40" s="45">
        <f t="shared" si="11"/>
        <v>0.66</v>
      </c>
      <c r="O40" s="50">
        <f>N40*VLOOKUP(B40,EVs!$A$2:$E$5,2,false)</f>
        <v>39.93</v>
      </c>
      <c r="P40" s="50">
        <f t="shared" si="12"/>
        <v>6.55</v>
      </c>
      <c r="Q40" s="50">
        <f>N40*VLOOKUP(B40,EVs!$A$2:$E$5,2,false)/P40</f>
        <v>6.096183206</v>
      </c>
      <c r="R40" s="41" t="s">
        <v>24</v>
      </c>
      <c r="S40" s="50">
        <f t="shared" si="13"/>
        <v>598.95</v>
      </c>
      <c r="T40" s="51">
        <f t="shared" si="14"/>
        <v>6.417112299</v>
      </c>
      <c r="U40" s="46">
        <f t="shared" si="15"/>
        <v>132</v>
      </c>
      <c r="V40" s="29">
        <f t="shared" si="16"/>
        <v>0</v>
      </c>
      <c r="W40" s="52" t="s">
        <v>36</v>
      </c>
    </row>
    <row r="41" ht="22.5" customHeight="1">
      <c r="A41" s="40">
        <v>46107.0</v>
      </c>
      <c r="B41" s="41" t="s">
        <v>22</v>
      </c>
      <c r="C41" s="42">
        <v>6037.0</v>
      </c>
      <c r="D41" s="43">
        <v>0.26</v>
      </c>
      <c r="E41" s="20">
        <v>1.0</v>
      </c>
      <c r="F41" s="45">
        <f t="shared" si="8"/>
        <v>0.74</v>
      </c>
      <c r="G41" s="46">
        <f>F41*VLOOKUP(B41,EVs!$A$2:$E$5,2,false)</f>
        <v>44.77</v>
      </c>
      <c r="H41" s="30" t="s">
        <v>29</v>
      </c>
      <c r="I41" s="47">
        <f t="shared" si="9"/>
        <v>7.339344262</v>
      </c>
      <c r="J41" s="32">
        <v>46107.89166666667</v>
      </c>
      <c r="K41" s="48">
        <f t="shared" si="10"/>
        <v>46108.19747</v>
      </c>
      <c r="L41" s="49">
        <v>46108.19305555556</v>
      </c>
      <c r="M41" s="7">
        <v>1.0</v>
      </c>
      <c r="N41" s="45">
        <f t="shared" si="11"/>
        <v>0.74</v>
      </c>
      <c r="O41" s="50">
        <f>N41*VLOOKUP(B41,EVs!$A$2:$E$5,2,false)</f>
        <v>44.77</v>
      </c>
      <c r="P41" s="50">
        <f t="shared" si="12"/>
        <v>7.233333333</v>
      </c>
      <c r="Q41" s="50">
        <f>N41*VLOOKUP(B41,EVs!$A$2:$E$5,2,false)/P41</f>
        <v>6.189400922</v>
      </c>
      <c r="R41" s="41" t="s">
        <v>24</v>
      </c>
      <c r="S41" s="50">
        <f t="shared" si="13"/>
        <v>671.55</v>
      </c>
      <c r="T41" s="51">
        <f t="shared" si="14"/>
        <v>5.575010506</v>
      </c>
      <c r="U41" s="46">
        <f t="shared" si="15"/>
        <v>199</v>
      </c>
      <c r="V41" s="29">
        <f t="shared" si="16"/>
        <v>6</v>
      </c>
    </row>
    <row r="42" ht="22.5" customHeight="1">
      <c r="A42" s="40">
        <v>46121.0</v>
      </c>
      <c r="B42" s="41" t="s">
        <v>22</v>
      </c>
      <c r="C42" s="42">
        <v>6251.0</v>
      </c>
      <c r="D42" s="43">
        <v>0.21</v>
      </c>
      <c r="E42" s="7">
        <v>0.84</v>
      </c>
      <c r="F42" s="45">
        <f t="shared" si="8"/>
        <v>0.63</v>
      </c>
      <c r="G42" s="46">
        <f>F42*VLOOKUP(B42,EVs!$A$2:$E$5,2,false)</f>
        <v>38.115</v>
      </c>
      <c r="H42" s="30" t="s">
        <v>29</v>
      </c>
      <c r="I42" s="47">
        <f t="shared" si="9"/>
        <v>6.248360656</v>
      </c>
      <c r="J42" s="32">
        <v>46121.94652777778</v>
      </c>
      <c r="K42" s="48">
        <f t="shared" si="10"/>
        <v>46122.20688</v>
      </c>
      <c r="L42" s="49">
        <v>46122.20694444444</v>
      </c>
      <c r="M42" s="7">
        <v>0.84</v>
      </c>
      <c r="N42" s="45">
        <f t="shared" si="11"/>
        <v>0.63</v>
      </c>
      <c r="O42" s="50">
        <f>N42*VLOOKUP(B42,EVs!$A$2:$E$5,2,false)</f>
        <v>38.115</v>
      </c>
      <c r="P42" s="50">
        <f t="shared" si="12"/>
        <v>6.25</v>
      </c>
      <c r="Q42" s="50">
        <f>N42*VLOOKUP(B42,EVs!$A$2:$E$5,2,false)/P42</f>
        <v>6.0984</v>
      </c>
      <c r="R42" s="41" t="s">
        <v>24</v>
      </c>
      <c r="S42" s="50">
        <f t="shared" ref="S42:S43" si="17">O42*16</f>
        <v>609.84</v>
      </c>
      <c r="T42" s="51">
        <f t="shared" si="14"/>
        <v>4.477455801</v>
      </c>
      <c r="U42" s="46">
        <f t="shared" si="15"/>
        <v>214</v>
      </c>
      <c r="V42" s="29">
        <f t="shared" si="16"/>
        <v>14</v>
      </c>
      <c r="W42" s="53" t="s">
        <v>37</v>
      </c>
    </row>
    <row r="43" ht="22.5" customHeight="1">
      <c r="A43" s="40">
        <v>46129.0</v>
      </c>
      <c r="B43" s="41" t="s">
        <v>22</v>
      </c>
      <c r="C43" s="42">
        <v>6408.0</v>
      </c>
      <c r="D43" s="43">
        <v>0.28</v>
      </c>
      <c r="E43" s="20">
        <v>1.0</v>
      </c>
      <c r="F43" s="45">
        <f t="shared" si="8"/>
        <v>0.72</v>
      </c>
      <c r="G43" s="46">
        <f>F43*VLOOKUP(B43,EVs!$A$2:$E$5,2,false)</f>
        <v>43.56</v>
      </c>
      <c r="H43" s="30" t="s">
        <v>29</v>
      </c>
      <c r="I43" s="47">
        <f t="shared" si="9"/>
        <v>7.140983607</v>
      </c>
      <c r="J43" s="32">
        <v>46129.69583333333</v>
      </c>
      <c r="K43" s="48">
        <f t="shared" si="10"/>
        <v>46129.99337</v>
      </c>
      <c r="L43" s="49">
        <v>46129.99791666667</v>
      </c>
      <c r="M43" s="7">
        <v>1.0</v>
      </c>
      <c r="N43" s="45">
        <f t="shared" si="11"/>
        <v>0.72</v>
      </c>
      <c r="O43" s="50">
        <f>N43*VLOOKUP(B43,EVs!$A$2:$E$5,2,false)</f>
        <v>43.56</v>
      </c>
      <c r="P43" s="50">
        <f t="shared" si="12"/>
        <v>7.25</v>
      </c>
      <c r="Q43" s="50">
        <f>N43*VLOOKUP(B43,EVs!$A$2:$E$5,2,false)/P43</f>
        <v>6.008275862</v>
      </c>
      <c r="R43" s="41" t="s">
        <v>24</v>
      </c>
      <c r="S43" s="50">
        <f t="shared" si="17"/>
        <v>696.96</v>
      </c>
      <c r="T43" s="51">
        <f t="shared" si="14"/>
        <v>4.634002361</v>
      </c>
      <c r="U43" s="46">
        <f t="shared" si="15"/>
        <v>157</v>
      </c>
      <c r="V43" s="29">
        <f t="shared" si="16"/>
        <v>8</v>
      </c>
    </row>
    <row r="44" ht="22.5" customHeight="1">
      <c r="A44" s="40"/>
      <c r="B44" s="54"/>
      <c r="C44" s="42"/>
      <c r="D44" s="43"/>
      <c r="E44" s="44"/>
      <c r="F44" s="45">
        <f t="shared" si="8"/>
        <v>0</v>
      </c>
      <c r="G44" s="46" t="str">
        <f>F44*VLOOKUP(B44,EVs!$A$2:$E$5,2,false)</f>
        <v>#N/A</v>
      </c>
      <c r="H44" s="55"/>
      <c r="I44" s="47" t="str">
        <f t="shared" si="9"/>
        <v>#N/A</v>
      </c>
      <c r="J44" s="56"/>
      <c r="K44" s="48" t="str">
        <f t="shared" si="10"/>
        <v>#N/A</v>
      </c>
      <c r="L44" s="49"/>
      <c r="M44" s="43"/>
      <c r="N44" s="45">
        <f t="shared" si="11"/>
        <v>0</v>
      </c>
      <c r="O44" s="50" t="str">
        <f>N44*VLOOKUP(B44,EVs!$A$2:$E$5,2,false)</f>
        <v>#N/A</v>
      </c>
      <c r="P44" s="50">
        <f t="shared" si="12"/>
        <v>0</v>
      </c>
      <c r="Q44" s="50" t="str">
        <f>N44*VLOOKUP(B44,EVs!$A$2:$E$5,2,false)/P44</f>
        <v>#N/A</v>
      </c>
      <c r="R44" s="57"/>
      <c r="S44" s="50" t="str">
        <f t="shared" ref="S44:S57" si="18">O44*15</f>
        <v>#N/A</v>
      </c>
      <c r="T44" s="51">
        <f t="shared" si="14"/>
        <v>-105.9173554</v>
      </c>
      <c r="U44" s="46">
        <f t="shared" si="15"/>
        <v>-6408</v>
      </c>
      <c r="V44" s="29">
        <f t="shared" si="16"/>
        <v>-46129</v>
      </c>
    </row>
    <row r="45" ht="22.5" customHeight="1">
      <c r="A45" s="40"/>
      <c r="B45" s="54"/>
      <c r="C45" s="42"/>
      <c r="D45" s="43"/>
      <c r="E45" s="44"/>
      <c r="F45" s="45">
        <f t="shared" si="8"/>
        <v>0</v>
      </c>
      <c r="G45" s="46" t="str">
        <f>F45*VLOOKUP(B45,EVs!$A$2:$E$5,2,false)</f>
        <v>#N/A</v>
      </c>
      <c r="H45" s="55"/>
      <c r="I45" s="47" t="str">
        <f t="shared" si="9"/>
        <v>#N/A</v>
      </c>
      <c r="J45" s="56"/>
      <c r="K45" s="48" t="str">
        <f t="shared" si="10"/>
        <v>#N/A</v>
      </c>
      <c r="L45" s="49"/>
      <c r="M45" s="43"/>
      <c r="N45" s="45">
        <f t="shared" si="11"/>
        <v>0</v>
      </c>
      <c r="O45" s="50" t="str">
        <f>N45*VLOOKUP(B45,EVs!$A$2:$E$5,2,false)</f>
        <v>#N/A</v>
      </c>
      <c r="P45" s="50">
        <f t="shared" si="12"/>
        <v>0</v>
      </c>
      <c r="Q45" s="50" t="str">
        <f>N45*VLOOKUP(B45,EVs!$A$2:$E$5,2,false)/P45</f>
        <v>#N/A</v>
      </c>
      <c r="R45" s="57"/>
      <c r="S45" s="50" t="str">
        <f t="shared" si="18"/>
        <v>#N/A</v>
      </c>
      <c r="T45" s="51" t="str">
        <f t="shared" si="14"/>
        <v>#DIV/0!</v>
      </c>
      <c r="U45" s="46">
        <f t="shared" si="15"/>
        <v>0</v>
      </c>
      <c r="V45" s="29">
        <f t="shared" si="16"/>
        <v>0</v>
      </c>
    </row>
    <row r="46" ht="22.5" customHeight="1">
      <c r="A46" s="40"/>
      <c r="B46" s="54"/>
      <c r="C46" s="42"/>
      <c r="D46" s="43"/>
      <c r="E46" s="44"/>
      <c r="F46" s="45">
        <f t="shared" si="8"/>
        <v>0</v>
      </c>
      <c r="G46" s="46" t="str">
        <f>F46*VLOOKUP(B46,EVs!$A$2:$E$5,2,false)</f>
        <v>#N/A</v>
      </c>
      <c r="H46" s="55"/>
      <c r="I46" s="47" t="str">
        <f t="shared" si="9"/>
        <v>#N/A</v>
      </c>
      <c r="J46" s="56"/>
      <c r="K46" s="48" t="str">
        <f t="shared" si="10"/>
        <v>#N/A</v>
      </c>
      <c r="L46" s="49"/>
      <c r="M46" s="43"/>
      <c r="N46" s="45">
        <f t="shared" si="11"/>
        <v>0</v>
      </c>
      <c r="O46" s="50" t="str">
        <f>N46*VLOOKUP(B46,EVs!$A$2:$E$5,2,false)</f>
        <v>#N/A</v>
      </c>
      <c r="P46" s="50">
        <f t="shared" si="12"/>
        <v>0</v>
      </c>
      <c r="Q46" s="50" t="str">
        <f>N46*VLOOKUP(B46,EVs!$A$2:$E$5,2,false)/P46</f>
        <v>#N/A</v>
      </c>
      <c r="R46" s="57"/>
      <c r="S46" s="50" t="str">
        <f t="shared" si="18"/>
        <v>#N/A</v>
      </c>
      <c r="T46" s="51" t="str">
        <f t="shared" si="14"/>
        <v>#DIV/0!</v>
      </c>
      <c r="U46" s="46">
        <f t="shared" si="15"/>
        <v>0</v>
      </c>
      <c r="V46" s="29">
        <f t="shared" si="16"/>
        <v>0</v>
      </c>
    </row>
    <row r="47" ht="22.5" customHeight="1">
      <c r="A47" s="40"/>
      <c r="B47" s="54"/>
      <c r="C47" s="42"/>
      <c r="D47" s="43"/>
      <c r="E47" s="44"/>
      <c r="F47" s="45">
        <f t="shared" si="8"/>
        <v>0</v>
      </c>
      <c r="G47" s="46" t="str">
        <f>F47*VLOOKUP(B47,EVs!$A$2:$E$5,2,false)</f>
        <v>#N/A</v>
      </c>
      <c r="H47" s="55"/>
      <c r="I47" s="47" t="str">
        <f t="shared" si="9"/>
        <v>#N/A</v>
      </c>
      <c r="J47" s="56"/>
      <c r="K47" s="48" t="str">
        <f t="shared" si="10"/>
        <v>#N/A</v>
      </c>
      <c r="L47" s="49"/>
      <c r="M47" s="43"/>
      <c r="N47" s="45">
        <f t="shared" si="11"/>
        <v>0</v>
      </c>
      <c r="O47" s="50" t="str">
        <f>N47*VLOOKUP(B47,EVs!$A$2:$E$5,2,false)</f>
        <v>#N/A</v>
      </c>
      <c r="P47" s="50">
        <f t="shared" si="12"/>
        <v>0</v>
      </c>
      <c r="Q47" s="50" t="str">
        <f>N47*VLOOKUP(B47,EVs!$A$2:$E$5,2,false)/P47</f>
        <v>#N/A</v>
      </c>
      <c r="R47" s="57"/>
      <c r="S47" s="50" t="str">
        <f t="shared" si="18"/>
        <v>#N/A</v>
      </c>
      <c r="T47" s="51" t="str">
        <f t="shared" si="14"/>
        <v>#DIV/0!</v>
      </c>
      <c r="U47" s="46">
        <f t="shared" si="15"/>
        <v>0</v>
      </c>
      <c r="V47" s="29">
        <f t="shared" si="16"/>
        <v>0</v>
      </c>
    </row>
    <row r="48" ht="22.5" customHeight="1">
      <c r="A48" s="40"/>
      <c r="B48" s="54"/>
      <c r="C48" s="42"/>
      <c r="D48" s="43"/>
      <c r="E48" s="44"/>
      <c r="F48" s="45">
        <f t="shared" si="8"/>
        <v>0</v>
      </c>
      <c r="G48" s="46" t="str">
        <f>F48*VLOOKUP(B48,EVs!$A$2:$E$5,2,false)</f>
        <v>#N/A</v>
      </c>
      <c r="H48" s="55"/>
      <c r="I48" s="47" t="str">
        <f t="shared" si="9"/>
        <v>#N/A</v>
      </c>
      <c r="J48" s="56"/>
      <c r="K48" s="48" t="str">
        <f t="shared" si="10"/>
        <v>#N/A</v>
      </c>
      <c r="L48" s="49"/>
      <c r="M48" s="43"/>
      <c r="N48" s="45">
        <f t="shared" si="11"/>
        <v>0</v>
      </c>
      <c r="O48" s="50" t="str">
        <f>N48*VLOOKUP(B48,EVs!$A$2:$E$5,2,false)</f>
        <v>#N/A</v>
      </c>
      <c r="P48" s="50">
        <f t="shared" si="12"/>
        <v>0</v>
      </c>
      <c r="Q48" s="50" t="str">
        <f>N48*VLOOKUP(B48,EVs!$A$2:$E$5,2,false)/P48</f>
        <v>#N/A</v>
      </c>
      <c r="R48" s="57"/>
      <c r="S48" s="50" t="str">
        <f t="shared" si="18"/>
        <v>#N/A</v>
      </c>
      <c r="T48" s="51" t="str">
        <f t="shared" si="14"/>
        <v>#DIV/0!</v>
      </c>
      <c r="U48" s="46">
        <f t="shared" si="15"/>
        <v>0</v>
      </c>
      <c r="V48" s="29">
        <f t="shared" si="16"/>
        <v>0</v>
      </c>
    </row>
    <row r="49" ht="22.5" customHeight="1">
      <c r="A49" s="40"/>
      <c r="B49" s="54"/>
      <c r="C49" s="42"/>
      <c r="D49" s="43"/>
      <c r="E49" s="44"/>
      <c r="F49" s="45">
        <f t="shared" si="8"/>
        <v>0</v>
      </c>
      <c r="G49" s="46" t="str">
        <f>F49*VLOOKUP(B49,EVs!$A$2:$E$5,2,false)</f>
        <v>#N/A</v>
      </c>
      <c r="H49" s="55"/>
      <c r="I49" s="47" t="str">
        <f t="shared" si="9"/>
        <v>#N/A</v>
      </c>
      <c r="J49" s="56"/>
      <c r="K49" s="48" t="str">
        <f t="shared" si="10"/>
        <v>#N/A</v>
      </c>
      <c r="L49" s="49"/>
      <c r="M49" s="43"/>
      <c r="N49" s="45">
        <f t="shared" si="11"/>
        <v>0</v>
      </c>
      <c r="O49" s="50" t="str">
        <f>N49*VLOOKUP(B49,EVs!$A$2:$E$5,2,false)</f>
        <v>#N/A</v>
      </c>
      <c r="P49" s="50">
        <f t="shared" si="12"/>
        <v>0</v>
      </c>
      <c r="Q49" s="50" t="str">
        <f>N49*VLOOKUP(B49,EVs!$A$2:$E$5,2,false)/P49</f>
        <v>#N/A</v>
      </c>
      <c r="R49" s="57"/>
      <c r="S49" s="50" t="str">
        <f t="shared" si="18"/>
        <v>#N/A</v>
      </c>
      <c r="T49" s="51" t="str">
        <f t="shared" si="14"/>
        <v>#DIV/0!</v>
      </c>
      <c r="U49" s="46">
        <f t="shared" si="15"/>
        <v>0</v>
      </c>
      <c r="V49" s="29">
        <f t="shared" si="16"/>
        <v>0</v>
      </c>
    </row>
    <row r="50" ht="22.5" customHeight="1">
      <c r="A50" s="40"/>
      <c r="B50" s="54"/>
      <c r="C50" s="42"/>
      <c r="D50" s="43"/>
      <c r="E50" s="44"/>
      <c r="F50" s="45">
        <f t="shared" si="8"/>
        <v>0</v>
      </c>
      <c r="G50" s="46" t="str">
        <f>F50*VLOOKUP(B50,EVs!$A$2:$E$5,2,false)</f>
        <v>#N/A</v>
      </c>
      <c r="H50" s="55"/>
      <c r="I50" s="47" t="str">
        <f t="shared" si="9"/>
        <v>#N/A</v>
      </c>
      <c r="J50" s="56"/>
      <c r="K50" s="48" t="str">
        <f t="shared" si="10"/>
        <v>#N/A</v>
      </c>
      <c r="L50" s="49"/>
      <c r="M50" s="43"/>
      <c r="N50" s="45">
        <f t="shared" si="11"/>
        <v>0</v>
      </c>
      <c r="O50" s="50" t="str">
        <f>N50*VLOOKUP(B50,EVs!$A$2:$E$5,2,false)</f>
        <v>#N/A</v>
      </c>
      <c r="P50" s="50">
        <f t="shared" si="12"/>
        <v>0</v>
      </c>
      <c r="Q50" s="50" t="str">
        <f>N50*VLOOKUP(B50,EVs!$A$2:$E$5,2,false)/P50</f>
        <v>#N/A</v>
      </c>
      <c r="R50" s="57"/>
      <c r="S50" s="50" t="str">
        <f t="shared" si="18"/>
        <v>#N/A</v>
      </c>
      <c r="T50" s="51" t="str">
        <f t="shared" si="14"/>
        <v>#DIV/0!</v>
      </c>
      <c r="U50" s="46">
        <f t="shared" si="15"/>
        <v>0</v>
      </c>
      <c r="V50" s="29">
        <f t="shared" si="16"/>
        <v>0</v>
      </c>
    </row>
    <row r="51" ht="22.5" customHeight="1">
      <c r="A51" s="40"/>
      <c r="B51" s="54"/>
      <c r="C51" s="42"/>
      <c r="D51" s="43"/>
      <c r="E51" s="44"/>
      <c r="F51" s="45">
        <f t="shared" si="8"/>
        <v>0</v>
      </c>
      <c r="G51" s="46" t="str">
        <f>F51*VLOOKUP(B51,EVs!$A$2:$E$5,2,false)</f>
        <v>#N/A</v>
      </c>
      <c r="H51" s="55"/>
      <c r="I51" s="47" t="str">
        <f t="shared" si="9"/>
        <v>#N/A</v>
      </c>
      <c r="J51" s="56"/>
      <c r="K51" s="48" t="str">
        <f t="shared" si="10"/>
        <v>#N/A</v>
      </c>
      <c r="L51" s="49"/>
      <c r="M51" s="43"/>
      <c r="N51" s="45">
        <f t="shared" si="11"/>
        <v>0</v>
      </c>
      <c r="O51" s="50" t="str">
        <f>N51*VLOOKUP(B51,EVs!$A$2:$E$5,2,false)</f>
        <v>#N/A</v>
      </c>
      <c r="P51" s="50">
        <f t="shared" si="12"/>
        <v>0</v>
      </c>
      <c r="Q51" s="50" t="str">
        <f>N51*VLOOKUP(B51,EVs!$A$2:$E$5,2,false)/P51</f>
        <v>#N/A</v>
      </c>
      <c r="R51" s="57"/>
      <c r="S51" s="50" t="str">
        <f t="shared" si="18"/>
        <v>#N/A</v>
      </c>
      <c r="T51" s="51" t="str">
        <f t="shared" si="14"/>
        <v>#DIV/0!</v>
      </c>
      <c r="U51" s="46">
        <f t="shared" si="15"/>
        <v>0</v>
      </c>
      <c r="V51" s="29">
        <f t="shared" si="16"/>
        <v>0</v>
      </c>
    </row>
    <row r="52" ht="22.5" customHeight="1">
      <c r="A52" s="40"/>
      <c r="B52" s="54"/>
      <c r="C52" s="42"/>
      <c r="D52" s="43"/>
      <c r="E52" s="44"/>
      <c r="F52" s="45">
        <f t="shared" si="8"/>
        <v>0</v>
      </c>
      <c r="G52" s="46" t="str">
        <f>F52*VLOOKUP(B52,EVs!$A$2:$E$5,2,false)</f>
        <v>#N/A</v>
      </c>
      <c r="H52" s="55"/>
      <c r="I52" s="47" t="str">
        <f t="shared" si="9"/>
        <v>#N/A</v>
      </c>
      <c r="J52" s="56"/>
      <c r="K52" s="48" t="str">
        <f t="shared" si="10"/>
        <v>#N/A</v>
      </c>
      <c r="L52" s="49"/>
      <c r="M52" s="43"/>
      <c r="N52" s="45">
        <f t="shared" si="11"/>
        <v>0</v>
      </c>
      <c r="O52" s="50" t="str">
        <f>N52*VLOOKUP(B52,EVs!$A$2:$E$5,2,false)</f>
        <v>#N/A</v>
      </c>
      <c r="P52" s="50">
        <f t="shared" si="12"/>
        <v>0</v>
      </c>
      <c r="Q52" s="50" t="str">
        <f>N52*VLOOKUP(B52,EVs!$A$2:$E$5,2,false)/P52</f>
        <v>#N/A</v>
      </c>
      <c r="R52" s="57"/>
      <c r="S52" s="50" t="str">
        <f t="shared" si="18"/>
        <v>#N/A</v>
      </c>
      <c r="T52" s="51" t="str">
        <f t="shared" si="14"/>
        <v>#DIV/0!</v>
      </c>
      <c r="U52" s="46">
        <f t="shared" si="15"/>
        <v>0</v>
      </c>
      <c r="V52" s="29">
        <f t="shared" si="16"/>
        <v>0</v>
      </c>
    </row>
    <row r="53" ht="22.5" customHeight="1">
      <c r="A53" s="40"/>
      <c r="B53" s="54"/>
      <c r="C53" s="42"/>
      <c r="D53" s="43"/>
      <c r="E53" s="44"/>
      <c r="F53" s="45">
        <f t="shared" si="8"/>
        <v>0</v>
      </c>
      <c r="G53" s="46" t="str">
        <f>F53*VLOOKUP(B53,EVs!$A$2:$E$5,2,false)</f>
        <v>#N/A</v>
      </c>
      <c r="H53" s="55"/>
      <c r="I53" s="47" t="str">
        <f t="shared" si="9"/>
        <v>#N/A</v>
      </c>
      <c r="J53" s="56"/>
      <c r="K53" s="48" t="str">
        <f t="shared" si="10"/>
        <v>#N/A</v>
      </c>
      <c r="L53" s="49"/>
      <c r="M53" s="43"/>
      <c r="N53" s="45">
        <f t="shared" si="11"/>
        <v>0</v>
      </c>
      <c r="O53" s="50" t="str">
        <f>N53*VLOOKUP(B53,EVs!$A$2:$E$5,2,false)</f>
        <v>#N/A</v>
      </c>
      <c r="P53" s="50">
        <f t="shared" si="12"/>
        <v>0</v>
      </c>
      <c r="Q53" s="50" t="str">
        <f>N53*VLOOKUP(B53,EVs!$A$2:$E$5,2,false)/P53</f>
        <v>#N/A</v>
      </c>
      <c r="R53" s="57"/>
      <c r="S53" s="50" t="str">
        <f t="shared" si="18"/>
        <v>#N/A</v>
      </c>
      <c r="T53" s="51" t="str">
        <f t="shared" si="14"/>
        <v>#DIV/0!</v>
      </c>
      <c r="U53" s="46">
        <f t="shared" si="15"/>
        <v>0</v>
      </c>
      <c r="V53" s="29">
        <f t="shared" si="16"/>
        <v>0</v>
      </c>
    </row>
    <row r="54" ht="22.5" customHeight="1">
      <c r="A54" s="40"/>
      <c r="B54" s="54"/>
      <c r="C54" s="42"/>
      <c r="D54" s="43"/>
      <c r="E54" s="44"/>
      <c r="F54" s="45">
        <f t="shared" si="8"/>
        <v>0</v>
      </c>
      <c r="G54" s="46" t="str">
        <f>F54*VLOOKUP(B54,EVs!$A$2:$E$5,2,false)</f>
        <v>#N/A</v>
      </c>
      <c r="H54" s="55"/>
      <c r="I54" s="47" t="str">
        <f t="shared" si="9"/>
        <v>#N/A</v>
      </c>
      <c r="J54" s="56"/>
      <c r="K54" s="48" t="str">
        <f t="shared" si="10"/>
        <v>#N/A</v>
      </c>
      <c r="L54" s="49"/>
      <c r="M54" s="43"/>
      <c r="N54" s="45">
        <f t="shared" si="11"/>
        <v>0</v>
      </c>
      <c r="O54" s="50" t="str">
        <f>N54*VLOOKUP(B54,EVs!$A$2:$E$5,2,false)</f>
        <v>#N/A</v>
      </c>
      <c r="P54" s="50">
        <f t="shared" si="12"/>
        <v>0</v>
      </c>
      <c r="Q54" s="50" t="str">
        <f>N54*VLOOKUP(B54,EVs!$A$2:$E$5,2,false)/P54</f>
        <v>#N/A</v>
      </c>
      <c r="R54" s="57"/>
      <c r="S54" s="50" t="str">
        <f t="shared" si="18"/>
        <v>#N/A</v>
      </c>
      <c r="T54" s="51" t="str">
        <f t="shared" si="14"/>
        <v>#DIV/0!</v>
      </c>
      <c r="U54" s="46">
        <f t="shared" si="15"/>
        <v>0</v>
      </c>
      <c r="V54" s="29">
        <f t="shared" si="16"/>
        <v>0</v>
      </c>
    </row>
    <row r="55" ht="22.5" customHeight="1">
      <c r="A55" s="40"/>
      <c r="B55" s="54"/>
      <c r="C55" s="42"/>
      <c r="D55" s="43"/>
      <c r="E55" s="44"/>
      <c r="F55" s="45">
        <f t="shared" si="8"/>
        <v>0</v>
      </c>
      <c r="G55" s="46" t="str">
        <f>F55*VLOOKUP(B55,EVs!$A$2:$E$5,2,false)</f>
        <v>#N/A</v>
      </c>
      <c r="H55" s="55"/>
      <c r="I55" s="47" t="str">
        <f t="shared" si="9"/>
        <v>#N/A</v>
      </c>
      <c r="J55" s="56"/>
      <c r="K55" s="48" t="str">
        <f t="shared" si="10"/>
        <v>#N/A</v>
      </c>
      <c r="L55" s="49"/>
      <c r="M55" s="43"/>
      <c r="N55" s="45">
        <f t="shared" si="11"/>
        <v>0</v>
      </c>
      <c r="O55" s="50" t="str">
        <f>N55*VLOOKUP(B55,EVs!$A$2:$E$5,2,false)</f>
        <v>#N/A</v>
      </c>
      <c r="P55" s="50">
        <f t="shared" si="12"/>
        <v>0</v>
      </c>
      <c r="Q55" s="50" t="str">
        <f>N55*VLOOKUP(B55,EVs!$A$2:$E$5,2,false)/P55</f>
        <v>#N/A</v>
      </c>
      <c r="R55" s="57"/>
      <c r="S55" s="50" t="str">
        <f t="shared" si="18"/>
        <v>#N/A</v>
      </c>
      <c r="T55" s="51" t="str">
        <f t="shared" si="14"/>
        <v>#DIV/0!</v>
      </c>
      <c r="U55" s="46">
        <f t="shared" si="15"/>
        <v>0</v>
      </c>
      <c r="V55" s="29">
        <f t="shared" si="16"/>
        <v>0</v>
      </c>
    </row>
    <row r="56" ht="22.5" customHeight="1">
      <c r="A56" s="40"/>
      <c r="B56" s="54"/>
      <c r="C56" s="42"/>
      <c r="D56" s="43"/>
      <c r="E56" s="44"/>
      <c r="F56" s="45">
        <f t="shared" si="8"/>
        <v>0</v>
      </c>
      <c r="G56" s="46" t="str">
        <f>F56*VLOOKUP(B56,EVs!$A$2:$E$5,2,false)</f>
        <v>#N/A</v>
      </c>
      <c r="H56" s="55"/>
      <c r="I56" s="47" t="str">
        <f t="shared" si="9"/>
        <v>#N/A</v>
      </c>
      <c r="J56" s="56"/>
      <c r="K56" s="48" t="str">
        <f t="shared" si="10"/>
        <v>#N/A</v>
      </c>
      <c r="L56" s="49"/>
      <c r="M56" s="43"/>
      <c r="N56" s="45">
        <f t="shared" si="11"/>
        <v>0</v>
      </c>
      <c r="O56" s="50" t="str">
        <f>N56*VLOOKUP(B56,EVs!$A$2:$E$5,2,false)</f>
        <v>#N/A</v>
      </c>
      <c r="P56" s="50">
        <f t="shared" si="12"/>
        <v>0</v>
      </c>
      <c r="Q56" s="50" t="str">
        <f>N56*VLOOKUP(B56,EVs!$A$2:$E$5,2,false)/P56</f>
        <v>#N/A</v>
      </c>
      <c r="R56" s="57"/>
      <c r="S56" s="50" t="str">
        <f t="shared" si="18"/>
        <v>#N/A</v>
      </c>
      <c r="T56" s="51" t="str">
        <f t="shared" si="14"/>
        <v>#DIV/0!</v>
      </c>
      <c r="U56" s="46">
        <f t="shared" si="15"/>
        <v>0</v>
      </c>
      <c r="V56" s="29">
        <f t="shared" si="16"/>
        <v>0</v>
      </c>
    </row>
    <row r="57" ht="22.5" customHeight="1">
      <c r="A57" s="40"/>
      <c r="B57" s="54"/>
      <c r="C57" s="42"/>
      <c r="D57" s="43"/>
      <c r="E57" s="44"/>
      <c r="F57" s="45">
        <f t="shared" si="8"/>
        <v>0</v>
      </c>
      <c r="G57" s="46" t="str">
        <f>F57*VLOOKUP(B57,EVs!$A$2:$E$5,2,false)</f>
        <v>#N/A</v>
      </c>
      <c r="H57" s="55"/>
      <c r="I57" s="47" t="str">
        <f t="shared" si="9"/>
        <v>#N/A</v>
      </c>
      <c r="J57" s="56"/>
      <c r="K57" s="48" t="str">
        <f t="shared" si="10"/>
        <v>#N/A</v>
      </c>
      <c r="L57" s="49"/>
      <c r="M57" s="43"/>
      <c r="N57" s="45">
        <f t="shared" si="11"/>
        <v>0</v>
      </c>
      <c r="O57" s="50" t="str">
        <f>N57*VLOOKUP(B57,EVs!$A$2:$E$5,2,false)</f>
        <v>#N/A</v>
      </c>
      <c r="P57" s="50">
        <f t="shared" si="12"/>
        <v>0</v>
      </c>
      <c r="Q57" s="50" t="str">
        <f>N57*VLOOKUP(B57,EVs!$A$2:$E$5,2,false)/P57</f>
        <v>#N/A</v>
      </c>
      <c r="R57" s="57"/>
      <c r="S57" s="50" t="str">
        <f t="shared" si="18"/>
        <v>#N/A</v>
      </c>
      <c r="T57" s="51" t="str">
        <f t="shared" si="14"/>
        <v>#DIV/0!</v>
      </c>
      <c r="U57" s="46">
        <f t="shared" si="15"/>
        <v>0</v>
      </c>
      <c r="V57" s="29">
        <f t="shared" si="16"/>
        <v>0</v>
      </c>
    </row>
  </sheetData>
  <dataValidations>
    <dataValidation type="list" allowBlank="1" showDropDown="1" showErrorMessage="1" sqref="H2:H57">
      <formula1>"1.9 Kw,7 Kw,7.0 Kw,6.4 Kw,6.1 Kw,24 Kw"</formula1>
    </dataValidation>
    <dataValidation type="custom" allowBlank="1" showDropDown="1" sqref="A2:A57">
      <formula1>OR(NOT(ISERROR(DATEVALUE(A2))), AND(ISNUMBER(A2), LEFT(CELL("format", A2))="D"))</formula1>
    </dataValidation>
    <dataValidation type="list" allowBlank="1" showErrorMessage="1" sqref="B2:B57">
      <formula1>#REF!</formula1>
    </dataValidation>
    <dataValidation type="custom" allowBlank="1" showDropDown="1" sqref="J2:L57">
      <formula1>OR(NOT(ISERROR(DATEVALUE(J2))), AND(ISNUMBER(J2), LEFT(CELL("format", J2))="D"))</formula1>
    </dataValidation>
    <dataValidation type="custom" allowBlank="1" showDropDown="1" sqref="C2:G57 I2:I57 M2:Q57 S2:V57">
      <formula1>AND(ISNUMBER(C2),(NOT(OR(NOT(ISERROR(DATEVALUE(C2))), AND(ISNUMBER(C2), LEFT(CELL("format", C2))="D")))))</formula1>
    </dataValidation>
    <dataValidation type="list" allowBlank="1" showDropDown="1" showErrorMessage="1" sqref="R2:R57">
      <formula1>"Garage,Dela Rosa Car Park,UP Town,Hexagon"</formula1>
    </dataValidation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" t="s">
        <v>38</v>
      </c>
      <c r="B1" s="53" t="s">
        <v>39</v>
      </c>
      <c r="C1" s="53" t="s">
        <v>40</v>
      </c>
      <c r="D1" s="53" t="s">
        <v>41</v>
      </c>
      <c r="E1" s="53" t="s">
        <v>42</v>
      </c>
    </row>
    <row r="2">
      <c r="A2" s="53" t="s">
        <v>22</v>
      </c>
      <c r="B2" s="53">
        <v>60.5</v>
      </c>
      <c r="C2" s="53" t="s">
        <v>43</v>
      </c>
      <c r="D2" s="58">
        <f>B2*7.9</f>
        <v>477.95</v>
      </c>
      <c r="E2" s="53" t="s">
        <v>44</v>
      </c>
    </row>
    <row r="3">
      <c r="A3" s="53" t="s">
        <v>45</v>
      </c>
    </row>
    <row r="4">
      <c r="A4" s="53" t="s">
        <v>46</v>
      </c>
    </row>
    <row r="5">
      <c r="A5" s="53" t="s">
        <v>47</v>
      </c>
    </row>
  </sheetData>
  <drawing r:id="rId1"/>
</worksheet>
</file>